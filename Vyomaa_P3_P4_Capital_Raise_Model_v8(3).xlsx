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Inputs" sheetId="3" state="visible" r:id="rId5"/>
    <sheet name="P3 Lender View" sheetId="4" state="visible" r:id="rId6"/>
    <sheet name="Funding Plan" sheetId="5" state="visible" r:id="rId7"/>
    <sheet name="Funding Timeline" sheetId="6" state="visible" r:id="rId8"/>
    <sheet name="Sources &amp; Uses" sheetId="7" state="visible" r:id="rId9"/>
    <sheet name="Construction Draws" sheetId="8" state="visible" r:id="rId10"/>
    <sheet name="SPV3" sheetId="9" state="visible" r:id="rId11"/>
    <sheet name="SPV4" sheetId="10" state="visible" r:id="rId12"/>
    <sheet name="HoldCo" sheetId="11" state="visible" r:id="rId13"/>
    <sheet name="Check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<sst xmlns="http://schemas.openxmlformats.org/spreadsheetml/2006/main" count="1442" uniqueCount="927">
  <si>
    <t xml:space="preserve">Vyomaa Energy — P3 &amp; P4 Capital Raise Model</t>
  </si>
  <si>
    <t xml:space="preserve">Read me first</t>
  </si>
  <si>
    <t xml:space="preserve">Purpose: size senior debt first at SPV3 (P3, 25 MW) and SPV4 (P4, 50 MW), then fund the residual from one HoldCo, and show how HoldCo money reaches each SPV and comes back to investors.</t>
  </si>
  <si>
    <t xml:space="preserve">Structure: Investors (promoter, institutional partner) → HoldCo → SPV3 and SPV4 (100% owned). Lenders lend to each SPV.</t>
  </si>
  <si>
    <t xml:space="preserve">HoldCo → SPV: equity shares plus CCDs (85% CCD by default; NCD selectable). SPV → HoldCo, in order: CCD / NCD coupon, NCD principal (debt ranks ahead of dividends), dividends capped at distributable profit, capital reduction after senior debt, final-year capital return.</t>
  </si>
  <si>
    <t xml:space="preserve">HoldCo funding order: promoter cash → optional HNI pre-COD CCDs → equity bridge → institutional round priced at P3 COD (15% CCPS + 85% partner CCD that mirrors the SPV CCDs).</t>
  </si>
  <si>
    <t xml:space="preserve">Basis: unit economics (cost per kWp, yield, tariff, opex, debt terms) are taken from the Arclight lender pack V23 (P3.1: 75 rooftop sites, 9.47 MWp) and scaled to 25 MW and 50 MW.</t>
  </si>
  <si>
    <t xml:space="preserve">Replace them with P3 and P4 EPC quotes, yield reports and lender term sheets as they arrive. Yellow cells are the assumptions to confirm first.</t>
  </si>
  <si>
    <t xml:space="preserve">Sheets: README · Dashboard · Inputs · P3 Lender View · Funding Plan · Funding Timeline · Sources &amp; Uses · Construction Draws · SPV3 · SPV4 · HoldCo · Checks.</t>
  </si>
  <si>
    <t xml:space="preserve">Colour code: blue = input, black = formula, green = link to another sheet, yellow fill = key assumption.</t>
  </si>
  <si>
    <t xml:space="preserve">What the switches on Inputs do:</t>
  </si>
  <si>
    <t xml:space="preserve">  · Financing case (1 base, 2 recommended, 3 worst, 0 custom) sets each SPV's rate and gearing. Draw order per SPV sets construction interest and bridge cost.</t>
  </si>
  <si>
    <t xml:space="preserve">  · HNI tranche: size, coupon, pre-COD credit, conversion FY (10-year deposit check), share sold to the partner at the COD round, escrow vs called, personal tax.</t>
  </si>
  <si>
    <t xml:space="preserve">  · Partner: CCD/NCD mix and conversion, non-resident flag (s.94B cap), stake-sale year and s.50AA rate. Performance guarantee: bank guarantee or surety bond. DSRA: built from cash flow or funded in cash at COD.</t>
  </si>
  <si>
    <t xml:space="preserve">P3 Lender View: live cover ratios, LLCR/PLCR, stress cases on the fixed loan, break-even and margin money. Funding Plan: tracks, targets, instruments, timeline.</t>
  </si>
  <si>
    <t xml:space="preserve">Simplifications: annual periods; debt drawn at COD with construction interest capitalised; tax losses carried forward without the 8-year limit; SPV dividends received treated as exempt at HoldCo (s.80M); bridge interest not deductible (s.14A); no working capital, GST or decommissioning.</t>
  </si>
  <si>
    <t xml:space="preserve">Conventions (v8): coupons accrue from the date money goes in (SPV CCDs from the equity draw, partner CCD from the round, HNI CCDs from close or call); HoldCo books SPV coupon on an accrual basis and pays its tax the following year; inverter replacement is expensed in book profit and added to the 40% WDV block for tax; PMC and any surety premium are capitalised in the SPV as share capital; gains on CCDs sold before conversion are taxed as short-term (s.50AA).</t>
  </si>
  <si>
    <t xml:space="preserve">Checks: each entity has a balance sheet check (SPV3, SPV4, HoldCo) on the Checks sheet. The captured scenario tables on the Dashboard are pasted values — re-run them after changing inputs.</t>
  </si>
  <si>
    <t xml:space="preserve">Not legal or tax advice. Instrument choice, lender consent to shareholder-debt servicing, Companies Act limits and RBI rules on financing promoter contribution need counsel's sign-off.</t>
  </si>
  <si>
    <t xml:space="preserve">Vyomaa Energy — P3 (25 MW) &amp; P4 (50 MW) Capital Raise: Dashboard</t>
  </si>
  <si>
    <t xml:space="preserve">Debt first at each SPV, HoldCo equity for the residual. All figures live from the model unless marked captured.</t>
  </si>
  <si>
    <t xml:space="preserve">Key outputs</t>
  </si>
  <si>
    <t xml:space="preserve">SPV3 (P3)</t>
  </si>
  <si>
    <t xml:space="preserve">SPV4 (P4)</t>
  </si>
  <si>
    <t xml:space="preserve">Portfolio</t>
  </si>
  <si>
    <t xml:space="preserve">Capacity (MWp)</t>
  </si>
  <si>
    <t xml:space="preserve">Construction capex (₹ Cr)</t>
  </si>
  <si>
    <t xml:space="preserve">Total uses (₹ Cr)</t>
  </si>
  <si>
    <t xml:space="preserve">Senior debt, sized first (₹ Cr)</t>
  </si>
  <si>
    <t xml:space="preserve">Gearing</t>
  </si>
  <si>
    <t xml:space="preserve">Binding constraint</t>
  </si>
  <si>
    <t xml:space="preserve">Construction draw order</t>
  </si>
  <si>
    <t xml:space="preserve">Contingent equity vs 70% plan (₹ Cr)</t>
  </si>
  <si>
    <t xml:space="preserve">HoldCo injection into SPV (₹ Cr)</t>
  </si>
  <si>
    <t xml:space="preserve">   as equity shares</t>
  </si>
  <si>
    <t xml:space="preserve">   as CCD / NCD</t>
  </si>
  <si>
    <t xml:space="preserve">Pre-close cash: PMC + PBG margin (₹ Cr)</t>
  </si>
  <si>
    <t xml:space="preserve">Minimum DSCR, P50</t>
  </si>
  <si>
    <t xml:space="preserve">Minimum DSCR, P90</t>
  </si>
  <si>
    <t xml:space="preserve">Project IRR, pre-tax</t>
  </si>
  <si>
    <t xml:space="preserve">SPV equity IRR, lender-pack basis</t>
  </si>
  <si>
    <t xml:space="preserve">SPV equity IRR to HoldCo, with instrument limits</t>
  </si>
  <si>
    <t xml:space="preserve">Peak cash trapped in the SPV (₹ Cr)</t>
  </si>
  <si>
    <t xml:space="preserve">HoldCo capital raise</t>
  </si>
  <si>
    <t xml:space="preserve">Total HoldCo funding need incl. pre-close (₹ Cr)</t>
  </si>
  <si>
    <t xml:space="preserve">Promoter cash used (₹ Cr)</t>
  </si>
  <si>
    <t xml:space="preserve">Peak equity bridge (₹ Cr)</t>
  </si>
  <si>
    <t xml:space="preserve">Bridge interest (₹ Cr)</t>
  </si>
  <si>
    <t xml:space="preserve">Institutional raise at COD (₹ Cr)</t>
  </si>
  <si>
    <t xml:space="preserve">   as CCPS (₹ Cr)</t>
  </si>
  <si>
    <t xml:space="preserve">   as partner CCD / NCD (₹ Cr)</t>
  </si>
  <si>
    <t xml:space="preserve">Partner share of HoldCo equity</t>
  </si>
  <si>
    <t xml:space="preserve">Promoter share of HoldCo equity</t>
  </si>
  <si>
    <t xml:space="preserve">Promoter share if priced at cost</t>
  </si>
  <si>
    <t xml:space="preserve">Partner IRR / hurdle 15%</t>
  </si>
  <si>
    <t xml:space="preserve">Partner MOIC</t>
  </si>
  <si>
    <t xml:space="preserve">Promoter IRR</t>
  </si>
  <si>
    <t xml:space="preserve">Promoter MOIC</t>
  </si>
  <si>
    <t xml:space="preserve">Peak cash held at HoldCo (₹ Cr)</t>
  </si>
  <si>
    <t xml:space="preserve">HoldCo tax, life of project (₹ Cr)</t>
  </si>
  <si>
    <t xml:space="preserve">Peak SPV tax losses carried forward (₹ Cr)</t>
  </si>
  <si>
    <t xml:space="preserve">Cash held in the DSRAs at peak; freed by an LC (₹ Cr)</t>
  </si>
  <si>
    <t xml:space="preserve">SPV CCDs converted, incl. rolled-up coupon (₹ Cr)</t>
  </si>
  <si>
    <t xml:space="preserve">Partner CCD converted (₹ Cr)</t>
  </si>
  <si>
    <t xml:space="preserve">Partner stake sale: price (₹ Cr)</t>
  </si>
  <si>
    <t xml:space="preserve">Partner stake sale: net proceeds (₹ Cr)</t>
  </si>
  <si>
    <t xml:space="preserve">Partner IRR with stake sale</t>
  </si>
  <si>
    <t xml:space="preserve">Partner MOIC with stake sale</t>
  </si>
  <si>
    <t xml:space="preserve">Financing case in use</t>
  </si>
  <si>
    <t xml:space="preserve">Performance guarantee</t>
  </si>
  <si>
    <t xml:space="preserve">Partner residence (s.94B)</t>
  </si>
  <si>
    <t xml:space="preserve">HNI pre-COD CCD subscribed (₹ Cr)</t>
  </si>
  <si>
    <t xml:space="preserve">HNI share sold to the partner at COD</t>
  </si>
  <si>
    <t xml:space="preserve">HNI tranche price at the COD round, 100% (₹ Cr)</t>
  </si>
  <si>
    <t xml:space="preserve">HNI return selling at the round, annualised (pre / post tax)</t>
  </si>
  <si>
    <t xml:space="preserve">HNI IRR after personal tax</t>
  </si>
  <si>
    <t xml:space="preserve">Partner's HNI buy-out at the round (₹ Cr)</t>
  </si>
  <si>
    <t xml:space="preserve">HNI share of HoldCo equity</t>
  </si>
  <si>
    <t xml:space="preserve">HNI IRR, hold to term</t>
  </si>
  <si>
    <t xml:space="preserve">HNI IRR with sale</t>
  </si>
  <si>
    <t xml:space="preserve">HNI sale: net proceeds (₹ Cr)</t>
  </si>
  <si>
    <t xml:space="preserve">All model checks pass</t>
  </si>
  <si>
    <t xml:space="preserve">How HoldCo money moves (₹ Cr, life of project)</t>
  </si>
  <si>
    <t xml:space="preserve">Down: equity shares subscribed</t>
  </si>
  <si>
    <t xml:space="preserve">Down: CCD / NCD subscribed</t>
  </si>
  <si>
    <t xml:space="preserve">Up 1: CCD / NCD coupon</t>
  </si>
  <si>
    <t xml:space="preserve">Up 2: dividends</t>
  </si>
  <si>
    <t xml:space="preserve">Up 3: NCD principal (nil for CCD)</t>
  </si>
  <si>
    <t xml:space="preserve">Up 4: capital reduction</t>
  </si>
  <si>
    <t xml:space="preserve">Up 5: final-year capital return</t>
  </si>
  <si>
    <t xml:space="preserve">Total paid up to HoldCo</t>
  </si>
  <si>
    <t xml:space="preserve">Scenarios (captured values, not live)</t>
  </si>
  <si>
    <t xml:space="preserve">Senior debt</t>
  </si>
  <si>
    <t xml:space="preserve">Min P90 DSCR</t>
  </si>
  <si>
    <t xml:space="preserve">Institutional raise</t>
  </si>
  <si>
    <t xml:space="preserve">Partner share</t>
  </si>
  <si>
    <t xml:space="preserve">Partner IRR</t>
  </si>
  <si>
    <t xml:space="preserve">SPV3 equity IRR</t>
  </si>
  <si>
    <t xml:space="preserve">Peak SPV3 trapped cash</t>
  </si>
  <si>
    <t xml:space="preserve">Promoter share</t>
  </si>
  <si>
    <t xml:space="preserve">All-investor IRR</t>
  </si>
  <si>
    <t xml:space="preserve">HoldCo tax (₹ Cr)</t>
  </si>
  <si>
    <t xml:space="preserve">Peak bridge (₹ Cr)</t>
  </si>
  <si>
    <t xml:space="preserve">All checks pass</t>
  </si>
  <si>
    <t xml:space="preserve">Base: P3 debt first, P4 equity first; SPV CCD 85% at 12% to debt maturity; partner CCD 85% to FY39</t>
  </si>
  <si>
    <t xml:space="preserve">Yes</t>
  </si>
  <si>
    <t xml:space="preserve">Previous partner terms: 30% CCD converting FY34</t>
  </si>
  <si>
    <t xml:space="preserve">P3 equity first</t>
  </si>
  <si>
    <t xml:space="preserve">P3 pro-rata</t>
  </si>
  <si>
    <t xml:space="preserve">P4 pro-rata</t>
  </si>
  <si>
    <t xml:space="preserve">P4 debt first</t>
  </si>
  <si>
    <t xml:space="preserve">SPV CCD 65% of injection</t>
  </si>
  <si>
    <t xml:space="preserve">SPV CCD as in the draft term sheet: 35%, 10%, converts year 2</t>
  </si>
  <si>
    <t xml:space="preserve">SPV CCD converts in year 2 (only change)</t>
  </si>
  <si>
    <t xml:space="preserve">NCD instead of CCD at both levels (85%), repayable from year 1</t>
  </si>
  <si>
    <t xml:space="preserve">NCD at both levels (85%), principal locked until senior debt is repaid</t>
  </si>
  <si>
    <t xml:space="preserve">Equity shares only: no CCD/NCD, no capital reduction</t>
  </si>
  <si>
    <t xml:space="preserve">75:25 gearing, sculpted to 1.20x on P50</t>
  </si>
  <si>
    <t xml:space="preserve">Debt sized on P50 at 1.30x (70% binds)</t>
  </si>
  <si>
    <t xml:space="preserve">DSRA as a bank LC (1.5% fee)</t>
  </si>
  <si>
    <t xml:space="preserve">DSRA funded in cash at COD</t>
  </si>
  <si>
    <t xml:space="preserve">Bridge at 11%, backed by a partner commitment letter</t>
  </si>
  <si>
    <t xml:space="preserve">Partner funds at P3 close; no bridge (annual timing overstates the cost)</t>
  </si>
  <si>
    <t xml:space="preserve">PMC confirmed inside the pre-op budget</t>
  </si>
  <si>
    <t xml:space="preserve">Promoter priced at cost (no COD step-up)</t>
  </si>
  <si>
    <t xml:space="preserve">Opex +3% a year</t>
  </si>
  <si>
    <t xml:space="preserve">EPC +10%</t>
  </si>
  <si>
    <t xml:space="preserve">Tariff −5%</t>
  </si>
  <si>
    <t xml:space="preserve">All-in rate +1 point on both loans (11.5%)</t>
  </si>
  <si>
    <t xml:space="preserve">PMC inside + LC DSRA</t>
  </si>
  <si>
    <t xml:space="preserve">Three conditions: PMC inside + LC DSRA + EPC −5%, step-up 1.58x</t>
  </si>
  <si>
    <t xml:space="preserve">As above, step-up 2.0x</t>
  </si>
  <si>
    <t xml:space="preserve">Financing with a common promoter: P3 NBFC at 11.5%, 60% gearing; P4 bank at 10.5% a year later</t>
  </si>
  <si>
    <t xml:space="preserve">As above, with the DSRA funded in cash at COD</t>
  </si>
  <si>
    <t xml:space="preserve">Worst realistic: P3 and P4 both NBFC at 11.5%, 60% gearing</t>
  </si>
  <si>
    <t xml:space="preserve">Recommended financing + ₹35 Cr HNI pre-COD (HNI converts FY37)</t>
  </si>
  <si>
    <t xml:space="preserve">As above, half the HNIs sell at the COD round</t>
  </si>
  <si>
    <t xml:space="preserve">As above, all HNIs sell at the COD round</t>
  </si>
  <si>
    <t xml:space="preserve">As above, HNI converting FY39 (fails the 10-year deposit rule)</t>
  </si>
  <si>
    <t xml:space="preserve">No</t>
  </si>
  <si>
    <t xml:space="preserve">Surety bonds instead of bank-guarantee cash margin</t>
  </si>
  <si>
    <t xml:space="preserve">Non-resident partner: s.94B caps HoldCo's coupon deduction</t>
  </si>
  <si>
    <t xml:space="preserve">Captured 16 Oct 2026 on model v8 by changing the named inputs and recalculating this workbook. Re-run after changing inputs. NCD rows use the same 85% share as the CCD base, so the comparison is like-for-like.</t>
  </si>
  <si>
    <t xml:space="preserve">HNI cases (captured values)</t>
  </si>
  <si>
    <t xml:space="preserve">HNI IRR, as held/sold</t>
  </si>
  <si>
    <t xml:space="preserve">HNI IRR, FY33 sale</t>
  </si>
  <si>
    <t xml:space="preserve">Sell at COD, annualised</t>
  </si>
  <si>
    <t xml:space="preserve">Sell at COD, after tax</t>
  </si>
  <si>
    <t xml:space="preserve">HNI IRR after tax</t>
  </si>
  <si>
    <t xml:space="preserve">Partner buy-out (₹ Cr)</t>
  </si>
  <si>
    <t xml:space="preserve">10-year rule met</t>
  </si>
  <si>
    <t xml:space="preserve">₹35 Cr HNI, all hold (converts FY37)</t>
  </si>
  <si>
    <t xml:space="preserve">Half sell at the COD round</t>
  </si>
  <si>
    <t xml:space="preserve">All sell at the COD round</t>
  </si>
  <si>
    <t xml:space="preserve">Converting FY39 instead</t>
  </si>
  <si>
    <t xml:space="preserve">All on the recommended financing case (P3 NBFC at 11.5%, 60%; P4 bank at 10.5%). HNI money is committed at close and called with the P3 equity draw (about 5.5 months before the round), so selling at COD is annualised over that period; escrowed money (Inputs row 100) uses 10 months.</t>
  </si>
  <si>
    <t xml:space="preserve">Calibration to the Arclight lender pack (P3.1)</t>
  </si>
  <si>
    <t xml:space="preserve">Lender pack</t>
  </si>
  <si>
    <t xml:space="preserve">This model</t>
  </si>
  <si>
    <t xml:space="preserve">Senior debt facility (₹ Cr)</t>
  </si>
  <si>
    <t xml:space="preserve">Equity IRR, all free cash paid</t>
  </si>
  <si>
    <t xml:space="preserve">Equity IRR, dividends only</t>
  </si>
  <si>
    <t xml:space="preserve">Peak cash held back in the debt period (₹ Cr)</t>
  </si>
  <si>
    <t xml:space="preserve">Captured on v8: P3 inputs set to 9.47 MWp, P50 sizing, pro-rata draws, no CCD, PMC outside the SPV (the pack’s scope); "dividends only" with no capital reduction; peak over years 1–10. Dividends-only IRR is 0.3 pt lower than in v7 because inverter replacement is now expensed in book profit. Pack figures from its KPI, Sources &amp; Uses and the Arclight deck (slide 14).</t>
  </si>
  <si>
    <t xml:space="preserve">Vyomaa Energy — P3 &amp; P4 Capital Raise Model: Inputs</t>
  </si>
  <si>
    <t xml:space="preserve">₹ Cr unless stated (₹1 Cr = ₹10 million). FY = year ending 31 March, labelled by end year (FY2028 = Apr-2027 to Mar-2028).</t>
  </si>
  <si>
    <t xml:space="preserve">Legend: blue = input · black = formula · green = link to another sheet · yellow fill = key assumption to confirm before term sheet.</t>
  </si>
  <si>
    <t xml:space="preserve">SPV project inputs</t>
  </si>
  <si>
    <t xml:space="preserve">Unit</t>
  </si>
  <si>
    <t xml:space="preserve">Source / note</t>
  </si>
  <si>
    <t xml:space="preserve">Capacity</t>
  </si>
  <si>
    <t xml:space="preserve">MWp</t>
  </si>
  <si>
    <t xml:space="preserve">User, 16 Oct 2026</t>
  </si>
  <si>
    <t xml:space="preserve">Financial close &amp; construction FY</t>
  </si>
  <si>
    <t xml:space="preserve">FY</t>
  </si>
  <si>
    <t xml:space="preserve">Assumption: P3 follows the P3.1 timetable (build Jul–Oct 2027); P4 one year later</t>
  </si>
  <si>
    <t xml:space="preserve">Construction start month within the FY (1 = April)</t>
  </si>
  <si>
    <t xml:space="preserve">month</t>
  </si>
  <si>
    <t xml:space="preserve">P3.1: build starts July 2027. P4 assumed July 2028</t>
  </si>
  <si>
    <t xml:space="preserve">Months of operation in the construction FY</t>
  </si>
  <si>
    <t xml:space="preserve">months</t>
  </si>
  <si>
    <t xml:space="preserve">Formula: 12 − months before start − construction months</t>
  </si>
  <si>
    <t xml:space="preserve">Hard capex (EPC scope)</t>
  </si>
  <si>
    <t xml:space="preserve">₹/kWp</t>
  </si>
  <si>
    <t xml:space="preserve">Arclight lender pack V23, P3.1 (75 rooftop sites, 9.47 MWp): ₹27.25/Wp. Replace with P3/P4 EPC quotes</t>
  </si>
  <si>
    <t xml:space="preserve">Developer fee</t>
  </si>
  <si>
    <t xml:space="preserve">% of hard capex</t>
  </si>
  <si>
    <t xml:space="preserve">Arclight lender pack V23, P3.1 (75 rooftop sites, 9.47 MWp)</t>
  </si>
  <si>
    <t xml:space="preserve">Pre-operative cost</t>
  </si>
  <si>
    <t xml:space="preserve">₹ lakh/MWp</t>
  </si>
  <si>
    <t xml:space="preserve">Arclight lender pack V23, P3.1 (75 rooftop sites, 9.47 MWp): ₹3.00 Cr ÷ 9.47 MWp (₹4 lakh per site)</t>
  </si>
  <si>
    <t xml:space="preserve">Contingency</t>
  </si>
  <si>
    <t xml:space="preserve">Specific yield, year 1, P50</t>
  </si>
  <si>
    <t xml:space="preserve">kWh/kWp</t>
  </si>
  <si>
    <t xml:space="preserve">Arclight lender pack V23, P3.1 (75 rooftop sites, 9.47 MWp): 14,132.6 MWh ÷ 9,471.9 kWp</t>
  </si>
  <si>
    <t xml:space="preserve">Annual degradation</t>
  </si>
  <si>
    <t xml:space="preserve">% a year</t>
  </si>
  <si>
    <t xml:space="preserve">Arclight lender pack V23, P3.1 (75 rooftop sites, 9.47 MWp): generation FY29 → FY30</t>
  </si>
  <si>
    <t xml:space="preserve">PPA tariff (flat)</t>
  </si>
  <si>
    <t xml:space="preserve">₹/kWh</t>
  </si>
  <si>
    <t xml:space="preserve">Arclight lender pack V23, P3.1 (75 rooftop sites, 9.47 MWp): weighted LOA tariff ₹4.04</t>
  </si>
  <si>
    <t xml:space="preserve">PPA term</t>
  </si>
  <si>
    <t xml:space="preserve">years</t>
  </si>
  <si>
    <t xml:space="preserve">All-in opex, year 1</t>
  </si>
  <si>
    <t xml:space="preserve">₹/kWp/yr</t>
  </si>
  <si>
    <t xml:space="preserve">Arclight lender pack V23, P3.1 (75 rooftop sites, 9.47 MWp): ₹931.5 (benchmark ₹650–900)</t>
  </si>
  <si>
    <t xml:space="preserve">Opex escalation</t>
  </si>
  <si>
    <t xml:space="preserve">P3.1 holds opex flat; test 2–4% (Dashboard scenarios)</t>
  </si>
  <si>
    <t xml:space="preserve">Inverter replacement</t>
  </si>
  <si>
    <t xml:space="preserve">Arclight lender pack V23, P3.1 (75 rooftop sites, 9.47 MWp): ₹2.23 Cr in Oct 2039</t>
  </si>
  <si>
    <t xml:space="preserve">Inverter replacement, operating year</t>
  </si>
  <si>
    <t xml:space="preserve">year</t>
  </si>
  <si>
    <t xml:space="preserve">Book depreciation, construction FY to operating year 4</t>
  </si>
  <si>
    <t xml:space="preserve">% of cost a year</t>
  </si>
  <si>
    <t xml:space="preserve">Arclight lender pack V23, P3.1 (75 rooftop sites, 9.47 MWp) Income Statement: ₹2.79 Cr a year on ₹30.94 Cr (component lives)</t>
  </si>
  <si>
    <t xml:space="preserve">Book depreciation, thereafter until fully written off</t>
  </si>
  <si>
    <t xml:space="preserve">Arclight lender pack V23, P3.1 (75 rooftop sites, 9.47 MWp) Income Statement: ₹1.70 Cr a year from FY34</t>
  </si>
  <si>
    <t xml:space="preserve">Tax depreciation (WDV)</t>
  </si>
  <si>
    <t xml:space="preserve">Income-tax Act; half rate if used &lt; 180 days in year 1</t>
  </si>
  <si>
    <t xml:space="preserve">Corporate tax rate</t>
  </si>
  <si>
    <t xml:space="preserve">%</t>
  </si>
  <si>
    <t xml:space="preserve">Section 115BAA</t>
  </si>
  <si>
    <t xml:space="preserve">Senior debt (lent to each SPV)</t>
  </si>
  <si>
    <t xml:space="preserve">Maximum gearing, custom (used when financing case = 0)</t>
  </si>
  <si>
    <t xml:space="preserve">Target DSCR for sculpting</t>
  </si>
  <si>
    <t xml:space="preserve">x</t>
  </si>
  <si>
    <t xml:space="preserve">All-in interest rate, custom (used when financing case = 0)</t>
  </si>
  <si>
    <t xml:space="preserve">Arclight lender pack V23, P3.1 (75 rooftop sites, 9.47 MWp): 6.0% base + 4.5% margin</t>
  </si>
  <si>
    <t xml:space="preserve">Repayment tenor after COD</t>
  </si>
  <si>
    <t xml:space="preserve">Arrangement fee</t>
  </si>
  <si>
    <t xml:space="preserve">% of facility</t>
  </si>
  <si>
    <t xml:space="preserve">Commitment fee</t>
  </si>
  <si>
    <t xml:space="preserve">% a year on undrawn</t>
  </si>
  <si>
    <t xml:space="preserve">Commitment fee period, average</t>
  </si>
  <si>
    <t xml:space="preserve">Calibrated: P3.1 commitment fee = 0.49% of facility</t>
  </si>
  <si>
    <t xml:space="preserve">Construction period</t>
  </si>
  <si>
    <t xml:space="preserve">P3.1: 4-month build. P4 (50 MW) assumed 6 months</t>
  </si>
  <si>
    <t xml:space="preserve">Construction draw order: 0 = lowest cost, 1 = equity first, 2 = pro-rata, 3 = debt first</t>
  </si>
  <si>
    <t xml:space="preserve">switch</t>
  </si>
  <si>
    <t xml:space="preserve">P3: debt first (equity is bridge-funded). P4: lowest cost of the three (round cash already raised)</t>
  </si>
  <si>
    <t xml:space="preserve">Cost of HoldCo cash drawn into construction</t>
  </si>
  <si>
    <t xml:space="preserve">P3: equity bridge rate (linked). P4: deposit yield forgone on round cash</t>
  </si>
  <si>
    <t xml:space="preserve">Debt sizing case: 1 = P50 base, 2 = P90 lender case</t>
  </si>
  <si>
    <t xml:space="preserve">Recommendation: size on the lender (P90) case</t>
  </si>
  <si>
    <t xml:space="preserve">P90 yield haircut vs P50</t>
  </si>
  <si>
    <t xml:space="preserve">1.282 × σ 5% (P3.1 Monte Carlo yield σ)</t>
  </si>
  <si>
    <t xml:space="preserve">DSRA: months of forward debt service</t>
  </si>
  <si>
    <t xml:space="preserve">DSRA form: 1 = cash, 2 = bank LC</t>
  </si>
  <si>
    <t xml:space="preserve">LC needs lender consent; Dashboard scenario</t>
  </si>
  <si>
    <t xml:space="preserve">LC fee</t>
  </si>
  <si>
    <t xml:space="preserve">Assumption (deck: 1–2%)</t>
  </si>
  <si>
    <t xml:space="preserve">Financing cases (pick one with the selector in the HoldCo section)</t>
  </si>
  <si>
    <t xml:space="preserve">Case 1 · Base: all-in rate</t>
  </si>
  <si>
    <t xml:space="preserve">Both SPVs at 10.5%, sized on P90 within a 70% cap</t>
  </si>
  <si>
    <t xml:space="preserve">Case 1 · Base: maximum gearing</t>
  </si>
  <si>
    <t xml:space="preserve">Case 2 · Recommended: all-in rate</t>
  </si>
  <si>
    <t xml:space="preserve">P3 from a green NBFC; P4 from a bank or IREDA a year later</t>
  </si>
  <si>
    <t xml:space="preserve">Case 2 · Recommended: maximum gearing</t>
  </si>
  <si>
    <t xml:space="preserve">P3 capped at 60% (promoter-credit mitigation)</t>
  </si>
  <si>
    <t xml:space="preserve">Case 3 · Worst realistic: all-in rate</t>
  </si>
  <si>
    <t xml:space="preserve">Both SPVs from NBFCs</t>
  </si>
  <si>
    <t xml:space="preserve">Case 3 · Worst realistic: maximum gearing</t>
  </si>
  <si>
    <t xml:space="preserve">All-in interest rate used</t>
  </si>
  <si>
    <t xml:space="preserve">Formula: the selected case, or the custom rate when the case is 0</t>
  </si>
  <si>
    <t xml:space="preserve">Maximum gearing used</t>
  </si>
  <si>
    <t xml:space="preserve">Formula: the selected case, or the custom gearing when the case is 0</t>
  </si>
  <si>
    <t xml:space="preserve">HoldCo → SPV funding instruments</t>
  </si>
  <si>
    <t xml:space="preserve">Share of HoldCo injection as CCD / NCD (rest equity shares)</t>
  </si>
  <si>
    <t xml:space="preserve">Equity shares then ≈ 5% of project cost, CCD ≈ 29%; in line with the draft term sheet's 5–10% pure equity</t>
  </si>
  <si>
    <t xml:space="preserve">HoldCo → SPV instrument: 1 = CCD, 2 = NCD</t>
  </si>
  <si>
    <t xml:space="preserve">CCD: lenders count it as equity; coupon from surplus only; converts to shares. NCD: repayable subordinated debt</t>
  </si>
  <si>
    <t xml:space="preserve">CCD coupon (cumulative, paid from surplus cash only)</t>
  </si>
  <si>
    <t xml:space="preserve">Draft term sheet had 10%; 12% lets the coupon carry more of the early cash</t>
  </si>
  <si>
    <t xml:space="preserve">CCD converts to equity shares at end of operating year</t>
  </si>
  <si>
    <t xml:space="preserve">At senior-debt maturity. Draft term sheet had COD + 12 months / 36 months (≈ year 2), which traps cash</t>
  </si>
  <si>
    <t xml:space="preserve">NCD coupon (used only if NCD is chosen)</t>
  </si>
  <si>
    <t xml:space="preserve">Assumption: arm's length, subordinated to senior debt</t>
  </si>
  <si>
    <t xml:space="preserve">CCD / NCD servicing allowed from operating year</t>
  </si>
  <si>
    <t xml:space="preserve">Subject to lender restricted-payment conditions</t>
  </si>
  <si>
    <t xml:space="preserve">NCD principal repayment allowed from operating year</t>
  </si>
  <si>
    <t xml:space="preserve">Many lenders require sponsor debt to stay in until senior debt is repaid (then 11)</t>
  </si>
  <si>
    <t xml:space="preserve">Capital reduction allowed from operating year</t>
  </si>
  <si>
    <t xml:space="preserve">After senior debt is repaid; s.66 Companies Act 2013, NCLT and creditor approval</t>
  </si>
  <si>
    <t xml:space="preserve">Pre-close cash (funded by HoldCo, outside sources &amp; uses)</t>
  </si>
  <si>
    <t xml:space="preserve">PMC / owner's engineer</t>
  </si>
  <si>
    <t xml:space="preserve">LOA register: ₹1.27 Cr incl. GST for 7.99 MWp</t>
  </si>
  <si>
    <t xml:space="preserve">PMC already inside pre-op allowance? 1 = yes, 0 = no</t>
  </si>
  <si>
    <t xml:space="preserve">Conservative: treat as extra (Arclight deck, slide 17)</t>
  </si>
  <si>
    <t xml:space="preserve">Performance bank guarantee</t>
  </si>
  <si>
    <t xml:space="preserve">₹/kW</t>
  </si>
  <si>
    <t xml:space="preserve">LOA terms</t>
  </si>
  <si>
    <t xml:space="preserve">Cash margin required on the PBG</t>
  </si>
  <si>
    <t xml:space="preserve">Assumption, bank-specific. SPVs hold no margin money today</t>
  </si>
  <si>
    <t xml:space="preserve">PBG margin released in operating year</t>
  </si>
  <si>
    <t xml:space="preserve">Assumption</t>
  </si>
  <si>
    <t xml:space="preserve">HoldCo and investor terms (single value, column C)</t>
  </si>
  <si>
    <t xml:space="preserve">Promoter cash available at HoldCo</t>
  </si>
  <si>
    <t xml:space="preserve">₹ Cr</t>
  </si>
  <si>
    <t xml:space="preserve">HoldCo register: ₹10 Cr paid in (₹1 Cr already in Arclight Projects 3)</t>
  </si>
  <si>
    <t xml:space="preserve">Additional promoter cash commitment</t>
  </si>
  <si>
    <t xml:space="preserve">HoldCo running cost</t>
  </si>
  <si>
    <t xml:space="preserve">₹ Cr/yr</t>
  </si>
  <si>
    <t xml:space="preserve">First FY shown in the HoldCo timeline</t>
  </si>
  <si>
    <t xml:space="preserve">Pre-close year for P3</t>
  </si>
  <si>
    <t xml:space="preserve">Equity bridge interest rate</t>
  </si>
  <si>
    <t xml:space="preserve">NBFC or sponsor bridge. A partner commitment letter at P3 close could cut this (scenario: 11%)</t>
  </si>
  <si>
    <t xml:space="preserve">Institutional round FY (priced at P3 COD)</t>
  </si>
  <si>
    <t xml:space="preserve">Bridge is repaid at the start of this FY</t>
  </si>
  <si>
    <t xml:space="preserve">Promoter value step-up at COD pricing</t>
  </si>
  <si>
    <t xml:space="preserve">Arclight deck slide 11: equity value ÷ invested at COD</t>
  </si>
  <si>
    <t xml:space="preserve">Partner funding via HoldCo CCD / NCD (rest CCPS)</t>
  </si>
  <si>
    <t xml:space="preserve">Mirrors the SPV CCDs: HoldCo's coupon paid ≈ coupon received, so HoldCo pays little tax while the SPVs carry losses</t>
  </si>
  <si>
    <t xml:space="preserve">Partner tranche instrument: 1 = CCD, 2 = NCD</t>
  </si>
  <si>
    <t xml:space="preserve">CCD/CCPS are FDI-eligible. Foreign partner: s.94B caps HoldCo's deduction and withholding tax applies to the coupon</t>
  </si>
  <si>
    <t xml:space="preserve">Partner CCD / NCD coupon</t>
  </si>
  <si>
    <t xml:space="preserve">Partner CCD converts to HoldCo equity in FY</t>
  </si>
  <si>
    <t xml:space="preserve">Same year the SPV4 CCDs convert (SPV3: FY38)</t>
  </si>
  <si>
    <t xml:space="preserve">Partner preferred return (hurdle)</t>
  </si>
  <si>
    <t xml:space="preserve">Arclight deck: 15% hurdle</t>
  </si>
  <si>
    <t xml:space="preserve">Promoter promote above the hurdle</t>
  </si>
  <si>
    <t xml:space="preserve">Arclight deck</t>
  </si>
  <si>
    <t xml:space="preserve">HoldCo tax rate</t>
  </si>
  <si>
    <t xml:space="preserve">Dividends received treated as exempt via s.80M (onward distribution)</t>
  </si>
  <si>
    <t xml:space="preserve">Discount rate for NPV</t>
  </si>
  <si>
    <t xml:space="preserve">Cost of equity</t>
  </si>
  <si>
    <t xml:space="preserve">HoldCo capital reduction allowed from FY</t>
  </si>
  <si>
    <t xml:space="preserve">When SPV capital reductions start arriving; s.66 approval</t>
  </si>
  <si>
    <t xml:space="preserve">Partner stake sale (option): sale at end of FY</t>
  </si>
  <si>
    <t xml:space="preserve">Five-year lock-in after the FY29 round; the hold-to-term case is always shown too</t>
  </si>
  <si>
    <t xml:space="preserve">Buyer's required return</t>
  </si>
  <si>
    <t xml:space="preserve">Arclight deck slide 12: 13% DCF buyer return</t>
  </si>
  <si>
    <t xml:space="preserve">Sale transaction costs</t>
  </si>
  <si>
    <t xml:space="preserve">% of price</t>
  </si>
  <si>
    <t xml:space="preserve">Capital-gains tax on the partner's gain</t>
  </si>
  <si>
    <t xml:space="preserve">Long-term gain on unlisted shares; treaty position for a foreign partner to confirm</t>
  </si>
  <si>
    <t xml:space="preserve">HNI pre-COD tranche: maximum (₹ Cr)</t>
  </si>
  <si>
    <t xml:space="preserve">Optional; 0 = off. Set 35 for the HNI pre-COD case (replaces most of the equity bridge)</t>
  </si>
  <si>
    <t xml:space="preserve">HNI tranche invested in FY</t>
  </si>
  <si>
    <t xml:space="preserve">At P3 financial close</t>
  </si>
  <si>
    <t xml:space="preserve">HNI CCD coupon (cumulative, pari passu with the partner CCD)</t>
  </si>
  <si>
    <t xml:space="preserve">Accrues in construction; paid from HoldCo surplus</t>
  </si>
  <si>
    <t xml:space="preserve">HNI pre-COD price credit vs the COD round</t>
  </si>
  <si>
    <t xml:space="preserve">Each HNI rupee converts into 1.25x the shares a COD-round rupee buys</t>
  </si>
  <si>
    <t xml:space="preserve">HNI exit option: sale at end of FY</t>
  </si>
  <si>
    <t xml:space="preserve">Five years after investing; hold-to-term also shown</t>
  </si>
  <si>
    <t xml:space="preserve">HNI CCDs convert to HoldCo equity in FY</t>
  </si>
  <si>
    <t xml:space="preserve">Deposit rules: CCDs from individuals must convert within 10 years of issue (June 2027 → by June 2037)</t>
  </si>
  <si>
    <t xml:space="preserve">Share of HNI CCDs sold to the partner at the COD round</t>
  </si>
  <si>
    <t xml:space="preserve">COD liquidity window: Series A sells, Series B holds. 0% = all hold</t>
  </si>
  <si>
    <t xml:space="preserve">Months from P3 close to the round (escrowed HNI money)</t>
  </si>
  <si>
    <t xml:space="preserve">June 2027 close to an April 2028 round. Row 112 gives the months actually used</t>
  </si>
  <si>
    <t xml:space="preserve">HNI money at close: 1 = paid into escrow, 0 = committed, called when drawn</t>
  </si>
  <si>
    <t xml:space="preserve">Escrowed cash makes equity first cheapest for P3 (deposit yield only)</t>
  </si>
  <si>
    <t xml:space="preserve">HNI personal tax rate on coupon, dividends and short-term gains</t>
  </si>
  <si>
    <t xml:space="preserve">Top slab with surcharge and cess (new regime); s.50AA treats gains on unlisted debentures as short-term</t>
  </si>
  <si>
    <t xml:space="preserve">Deposit yield on cash held at HoldCo or in escrow</t>
  </si>
  <si>
    <t xml:space="preserve">Financing case: 1 = base, 2 = recommended, 3 = worst realistic, 0 = custom</t>
  </si>
  <si>
    <t xml:space="preserve">Drives the rate and gearing used for both SPVs (see Financing cases above)</t>
  </si>
  <si>
    <t xml:space="preserve">Institutional partner is non-resident: 1 = yes, 0 = no</t>
  </si>
  <si>
    <t xml:space="preserve">Yes: s.94B caps HoldCo's deduction of the partner coupon at 30% of HoldCo EBITDA</t>
  </si>
  <si>
    <t xml:space="preserve">s.94B cap on interest deduction (% of EBITDA)</t>
  </si>
  <si>
    <t xml:space="preserve">Income-tax Act s.94B (interest to non-resident associated enterprises above ₹1 Cr)</t>
  </si>
  <si>
    <t xml:space="preserve">Performance guarantee: 1 = bank guarantee with cash margin, 2 = insurance surety bond</t>
  </si>
  <si>
    <t xml:space="preserve">Surety bonds need no cash margin; check each LOA issuer accepts them</t>
  </si>
  <si>
    <t xml:space="preserve">Surety-bond premium</t>
  </si>
  <si>
    <t xml:space="preserve">% of PBG a year</t>
  </si>
  <si>
    <t xml:space="preserve">Assumption; negotiated with the insurer</t>
  </si>
  <si>
    <t xml:space="preserve">Years of premium paid before close</t>
  </si>
  <si>
    <t xml:space="preserve">Upfront margin the P3 lender wants before first drawdown</t>
  </si>
  <si>
    <t xml:space="preserve">% of HoldCo equity</t>
  </si>
  <si>
    <t xml:space="preserve">Lender-specific; often 10–25% under debt-first draws</t>
  </si>
  <si>
    <t xml:space="preserve">DSRA funded in cash by HoldCo at COD: 1 = yes (in uses), 0 = built from operating cash</t>
  </si>
  <si>
    <t xml:space="preserve">Applies to both SPVs. 0 = the DSRA fills from first-year cash flow (as before); 1 = equity-funded at COD, as lenders often ask</t>
  </si>
  <si>
    <t xml:space="preserve">Partner tax on gains from CCDs sold before conversion (s.50AA)</t>
  </si>
  <si>
    <t xml:space="preserve">Gains on unlisted debentures are deemed short-term; domestic-company rate. The CCPS part keeps the long-term rate above. Confirm with tax adviser</t>
  </si>
  <si>
    <t xml:space="preserve">HNI coupon months before the round (formula)</t>
  </si>
  <si>
    <t xml:space="preserve">Escrow: from P3 close (row 99). Called when drawn: from the P3 equity draw</t>
  </si>
  <si>
    <t xml:space="preserve">P3 Lender View — the numbers behind the debt deck and teaser</t>
  </si>
  <si>
    <t xml:space="preserve">Live from SPV3 and Sources &amp; Uses. Stress cases hold the loan and repayment schedule fixed. Edit the blue stress parameters to test others.</t>
  </si>
  <si>
    <t xml:space="preserve">Facility</t>
  </si>
  <si>
    <t xml:space="preserve">Senior facility (₹ Cr)</t>
  </si>
  <si>
    <t xml:space="preserve">Total project cost (₹ Cr)</t>
  </si>
  <si>
    <t xml:space="preserve">All-in rate used</t>
  </si>
  <si>
    <t xml:space="preserve">Tenor after COD (years)</t>
  </si>
  <si>
    <t xml:space="preserve">Sizing case</t>
  </si>
  <si>
    <t xml:space="preserve">HoldCo equity into P3 (₹ Cr)</t>
  </si>
  <si>
    <t xml:space="preserve">Cover ratios</t>
  </si>
  <si>
    <t xml:space="preserve">Average DSCR, P50</t>
  </si>
  <si>
    <t xml:space="preserve">LLCR, P50</t>
  </si>
  <si>
    <t xml:space="preserve">LLCR, P90</t>
  </si>
  <si>
    <t xml:space="preserve">PLCR, P50</t>
  </si>
  <si>
    <t xml:space="preserve">Years of PPA left after the loan</t>
  </si>
  <si>
    <t xml:space="preserve">Annual cover, years 1–10 (₹ Cr)</t>
  </si>
  <si>
    <t xml:space="preserve">Operating year</t>
  </si>
  <si>
    <t xml:space="preserve">Financial year</t>
  </si>
  <si>
    <t xml:space="preserve">CFADS, P50 (pre-tax)</t>
  </si>
  <si>
    <t xml:space="preserve">CFADS, P90</t>
  </si>
  <si>
    <t xml:space="preserve">Senior debt service</t>
  </si>
  <si>
    <t xml:space="preserve">DSCR, P50</t>
  </si>
  <si>
    <t xml:space="preserve">DSCR, P90</t>
  </si>
  <si>
    <t xml:space="preserve">Loan balance, closing</t>
  </si>
  <si>
    <t xml:space="preserve">Downside cases on the same loan (minimum DSCR, years 1–10)</t>
  </si>
  <si>
    <t xml:space="preserve">Case</t>
  </si>
  <si>
    <t xml:space="preserve">Yield ×</t>
  </si>
  <si>
    <t xml:space="preserve">Tariff ×</t>
  </si>
  <si>
    <t xml:space="preserve">Opex ×</t>
  </si>
  <si>
    <t xml:space="preserve">+ rate (bp)</t>
  </si>
  <si>
    <t xml:space="preserve">Min DSCR</t>
  </si>
  <si>
    <t xml:space="preserve">P50 base</t>
  </si>
  <si>
    <t xml:space="preserve">P90 yield</t>
  </si>
  <si>
    <t xml:space="preserve">Opex +10%</t>
  </si>
  <si>
    <t xml:space="preserve">One-year yield −10% (≈ P99)</t>
  </si>
  <si>
    <t xml:space="preserve">Interest +100 bp</t>
  </si>
  <si>
    <t xml:space="preserve">Combined: P90, tariff −5%, opex +10%</t>
  </si>
  <si>
    <t xml:space="preserve">DSCR by year under each case</t>
  </si>
  <si>
    <t xml:space="preserve">Minimum</t>
  </si>
  <si>
    <t xml:space="preserve">Revenue fall to break-even (DSCR 1.00x) by year</t>
  </si>
  <si>
    <t xml:space="preserve">Margin money before first drawdown (debt-first draws)</t>
  </si>
  <si>
    <t xml:space="preserve">Margin required: HoldCo equity into P3 (₹ Cr)</t>
  </si>
  <si>
    <t xml:space="preserve">Upfront share the lender wants</t>
  </si>
  <si>
    <t xml:space="preserve">Upfront margin required (₹ Cr)</t>
  </si>
  <si>
    <t xml:space="preserve">Certified pre-close project spend: P3 PMC (₹ Cr)</t>
  </si>
  <si>
    <t xml:space="preserve">Promoter cash left at HoldCo for P3 equity (₹ Cr)</t>
  </si>
  <si>
    <t xml:space="preserve">HNI money paid into escrow at close (₹ Cr)</t>
  </si>
  <si>
    <t xml:space="preserve">Margin available upfront (₹ Cr)</t>
  </si>
  <si>
    <t xml:space="preserve">Upfront surplus / (shortfall) (₹ Cr)</t>
  </si>
  <si>
    <t xml:space="preserve">HNI money committed, called when drawn (₹ Cr)</t>
  </si>
  <si>
    <t xml:space="preserve">Margin still to be committed (₹ Cr)</t>
  </si>
  <si>
    <t xml:space="preserve">Status</t>
  </si>
  <si>
    <t xml:space="preserve">Certified PMC is capitalised in SPV3 as share capital (row 43 on Sources &amp; Uses), so it counts as project spend and margin; confirm the lender accepts certified pre-close spend as margin.</t>
  </si>
  <si>
    <t xml:space="preserve">Funding Plan — three tracks for P3 and P4, targets, instruments and timeline</t>
  </si>
  <si>
    <t xml:space="preserve">Amounts link to the model. Names and cost ranges are from knowledge to mid-2026: confirm each institution's current appetite before outreach.</t>
  </si>
  <si>
    <t xml:space="preserve">1. The three funding tracks (plus P4 debt later)</t>
  </si>
  <si>
    <t xml:space="preserve">Track</t>
  </si>
  <si>
    <t xml:space="preserve">Ask</t>
  </si>
  <si>
    <t xml:space="preserve">Who to approach</t>
  </si>
  <si>
    <t xml:space="preserve">Commit by</t>
  </si>
  <si>
    <t xml:space="preserve">Money in</t>
  </si>
  <si>
    <t xml:space="preserve">1. P3 senior debt</t>
  </si>
  <si>
    <t xml:space="preserve">Green NBFCs first (Tata Cleantech Capital, Ecofy, L&amp;T Finance); test bank pricing (IREDA, SBI, Axis)</t>
  </si>
  <si>
    <t xml:space="preserve">Sanction Apr–May 2027</t>
  </si>
  <si>
    <t xml:space="preserve">Drawn in the Jul–Oct 2027 build</t>
  </si>
  <si>
    <t xml:space="preserve">2. P3 pre-COD HNI equity</t>
  </si>
  <si>
    <t xml:space="preserve">Family offices and HNIs through wealth platforms (360 ONE, Nuvama Private, Kotak Private, ASK, Waterfield)</t>
  </si>
  <si>
    <t xml:space="preserve">Subscriptions Mar–Apr 2027</t>
  </si>
  <si>
    <t xml:space="preserve">At P3 close, June 2027</t>
  </si>
  <si>
    <t xml:space="preserve">3. Institutional partner, P3+P4</t>
  </si>
  <si>
    <t xml:space="preserve">Climate and infrastructure funds, rooftop platforms, development investors</t>
  </si>
  <si>
    <t xml:space="preserve">Commitment letter by P3 close</t>
  </si>
  <si>
    <t xml:space="preserve">Round after P3 COD (≈ Apr 2028), priced at COD</t>
  </si>
  <si>
    <t xml:space="preserve">4. P4 senior debt (later)</t>
  </si>
  <si>
    <t xml:space="preserve">Banks or IREDA, on P3's operating record</t>
  </si>
  <si>
    <t xml:space="preserve">FY29</t>
  </si>
  <si>
    <t xml:space="preserve">P4 build</t>
  </si>
  <si>
    <t xml:space="preserve">Shared groundwork: promoter-group disclosure note, certified pre-close spend, LOA status of the remaining 15.5 MWp, lender-controlled escrow, ring-fenced board.</t>
  </si>
  <si>
    <t xml:space="preserve">2. Debt providers</t>
  </si>
  <si>
    <t xml:space="preserve">Type</t>
  </si>
  <si>
    <t xml:space="preserve">Names to approach</t>
  </si>
  <si>
    <t xml:space="preserve">All-in cost</t>
  </si>
  <si>
    <t xml:space="preserve">Tenor</t>
  </si>
  <si>
    <t xml:space="preserve">Sanction time</t>
  </si>
  <si>
    <t xml:space="preserve">Credit tolerance</t>
  </si>
  <si>
    <t xml:space="preserve">Role for Arclight</t>
  </si>
  <si>
    <t xml:space="preserve">Public-sector lenders</t>
  </si>
  <si>
    <t xml:space="preserve">IREDA, SBI, Bank of Baroda, Union Bank, Canara Bank; REC and PFC at the margin</t>
  </si>
  <si>
    <t xml:space="preserve">9.5–10.5%</t>
  </si>
  <si>
    <t xml:space="preserve">10–15 yrs</t>
  </si>
  <si>
    <t xml:space="preserve">4–6 months</t>
  </si>
  <si>
    <t xml:space="preserve">Strict</t>
  </si>
  <si>
    <t xml:space="preserve">Best cost, once a partner is signed</t>
  </si>
  <si>
    <t xml:space="preserve">Private banks</t>
  </si>
  <si>
    <t xml:space="preserve">Axis, HDFC Bank, ICICI, Kotak, IndusInd, Yes Bank</t>
  </si>
  <si>
    <t xml:space="preserve">10–11%</t>
  </si>
  <si>
    <t xml:space="preserve">7–12 yrs</t>
  </si>
  <si>
    <t xml:space="preserve">3–5 months</t>
  </si>
  <si>
    <t xml:space="preserve">As above; guarantee limits</t>
  </si>
  <si>
    <t xml:space="preserve">Green and infra NBFCs</t>
  </si>
  <si>
    <t xml:space="preserve">Tata Cleantech Capital, Ecofy, L&amp;T Finance, Aditya Birla Finance, Tata Capital</t>
  </si>
  <si>
    <t xml:space="preserve">10.5–12%</t>
  </si>
  <si>
    <t xml:space="preserve">8–12 yrs</t>
  </si>
  <si>
    <t xml:space="preserve">6–12 weeks</t>
  </si>
  <si>
    <t xml:space="preserve">Moderate: lend on project cash flow</t>
  </si>
  <si>
    <t xml:space="preserve">First lender for P3; refinance after a year</t>
  </si>
  <si>
    <t xml:space="preserve">Private credit funds</t>
  </si>
  <si>
    <t xml:space="preserve">Vivriti, Northern Arc, InCred Alternatives, Neo, Nuvama Alternatives, Kotak Alternate Assets</t>
  </si>
  <si>
    <t xml:space="preserve">13–17%</t>
  </si>
  <si>
    <t xml:space="preserve">2–5 yrs</t>
  </si>
  <si>
    <t xml:space="preserve">4–8 weeks</t>
  </si>
  <si>
    <t xml:space="preserve">Flexible; secured and costly</t>
  </si>
  <si>
    <t xml:space="preserve">Equity bridge or HoldCo loan</t>
  </si>
  <si>
    <t xml:space="preserve">Development and foreign lenders</t>
  </si>
  <si>
    <t xml:space="preserve">IFC, ADB, FMO, Proparco, DEG, BII, US DFC; SMBC, MUFG, StanChart, DBS</t>
  </si>
  <si>
    <t xml:space="preserve">10–12% hedged</t>
  </si>
  <si>
    <t xml:space="preserve">6–12 months</t>
  </si>
  <si>
    <t xml:space="preserve">Strict integrity checks</t>
  </si>
  <si>
    <t xml:space="preserve">Mostly via the NBFCs at this size</t>
  </si>
  <si>
    <t xml:space="preserve">3. Equity partners</t>
  </si>
  <si>
    <t xml:space="preserve">Return expected</t>
  </si>
  <si>
    <t xml:space="preserve">Ticket and terms</t>
  </si>
  <si>
    <t xml:space="preserve">Time to close</t>
  </si>
  <si>
    <t xml:space="preserve">What they check</t>
  </si>
  <si>
    <t xml:space="preserve">Fit</t>
  </si>
  <si>
    <t xml:space="preserve">Rooftop and C&amp;I platforms</t>
  </si>
  <si>
    <t xml:space="preserve">CleanMax, Fourth Partner Energy, Amplus (Gentari), Radiance Renewables, Sunsure</t>
  </si>
  <si>
    <t xml:space="preserve">11–13%</t>
  </si>
  <si>
    <t xml:space="preserve">Full ₹90 Cr; often want control or a forward purchase</t>
  </si>
  <si>
    <t xml:space="preserve">3–6 months</t>
  </si>
  <si>
    <t xml:space="preserve">The assets more than the promoter</t>
  </si>
  <si>
    <t xml:space="preserve">Strategic route; most certain</t>
  </si>
  <si>
    <t xml:space="preserve">Indian climate and infra funds</t>
  </si>
  <si>
    <t xml:space="preserve">Eversource Capital, SBICAP Ventures (Neev), Aavishkaar, Kotak Alternate Assets, Nuvama/EAAA</t>
  </si>
  <si>
    <t xml:space="preserve">15–18%</t>
  </si>
  <si>
    <t xml:space="preserve">₹50–150 Cr minority; CCPS or CCD</t>
  </si>
  <si>
    <t xml:space="preserve">4–8 months</t>
  </si>
  <si>
    <t xml:space="preserve">Governance, integrity, pipeline</t>
  </si>
  <si>
    <t xml:space="preserve">Track 3 lead candidates</t>
  </si>
  <si>
    <t xml:space="preserve">Global development and climate investors</t>
  </si>
  <si>
    <t xml:space="preserve">BII, Norfund, DEG, FMO, Proparco, ORIX</t>
  </si>
  <si>
    <t xml:space="preserve">13–16% (₹)</t>
  </si>
  <si>
    <t xml:space="preserve">Usually $15–25M+</t>
  </si>
  <si>
    <t xml:space="preserve">Strict integrity and ESG</t>
  </si>
  <si>
    <t xml:space="preserve">Platform pitch (P3, P4, P5…)</t>
  </si>
  <si>
    <t xml:space="preserve">Family offices and HNIs</t>
  </si>
  <si>
    <t xml:space="preserve">Via 360 ONE, Nuvama Private, Kotak Private, ASK, Waterfield, Centrum, Anand Rathi</t>
  </si>
  <si>
    <t xml:space="preserve">12–15% coupon; 18%+ equity</t>
  </si>
  <si>
    <t xml:space="preserve">₹1–25 Cr each; quarterly coupon</t>
  </si>
  <si>
    <t xml:space="preserve">4–10 weeks</t>
  </si>
  <si>
    <t xml:space="preserve">Coupon reliability, exit date</t>
  </si>
  <si>
    <t xml:space="preserve">Track 2 (pre-COD CCDs)</t>
  </si>
  <si>
    <t xml:space="preserve">4. Which instrument for the HNI tranche</t>
  </si>
  <si>
    <t xml:space="preserve">CCD (recommended)</t>
  </si>
  <si>
    <t xml:space="preserve">CCPS</t>
  </si>
  <si>
    <t xml:space="preserve">NCD</t>
  </si>
  <si>
    <t xml:space="preserve">Counted as P3 equity by the lender</t>
  </si>
  <si>
    <t xml:space="preserve">Usually, as quasi-equity; confirm in the term sheet</t>
  </si>
  <si>
    <t xml:space="preserve">Yes: pure equity</t>
  </si>
  <si>
    <t xml:space="preserve">No: borrowed margin</t>
  </si>
  <si>
    <t xml:space="preserve">Cash to HNIs before conversion</t>
  </si>
  <si>
    <t xml:space="preserve">12% cumulative coupon from FY30–31</t>
  </si>
  <si>
    <t xml:space="preserve">Little or none for about 10 years</t>
  </si>
  <si>
    <t xml:space="preserve">Fixed coupon; no HoldCo cash in construction</t>
  </si>
  <si>
    <t xml:space="preserve">HoldCo tax</t>
  </si>
  <si>
    <t xml:space="preserve">Deductible: offsets SPV coupons (mirror)</t>
  </si>
  <si>
    <t xml:space="preserve">Not deductible: about ₹17 Cr of tax returns</t>
  </si>
  <si>
    <t xml:space="preserve">Deductible</t>
  </si>
  <si>
    <t xml:space="preserve">Upside</t>
  </si>
  <si>
    <t xml:space="preserve">Converts with the pre-COD credit</t>
  </si>
  <si>
    <t xml:space="preserve">Full equity upside</t>
  </si>
  <si>
    <t xml:space="preserve">None</t>
  </si>
  <si>
    <t xml:space="preserve">Exit at the COD round</t>
  </si>
  <si>
    <t xml:space="preserve">Sold to the partner at the round price</t>
  </si>
  <si>
    <t xml:space="preserve">Same</t>
  </si>
  <si>
    <t xml:space="preserve">Repaid from the round, diverting P4 money</t>
  </si>
  <si>
    <t xml:space="preserve">HNI tax</t>
  </si>
  <si>
    <t xml:space="preserve">Coupon at slab with TDS; 12.5% LTCG on shares after conversion; s.50AA slab on CCD sale</t>
  </si>
  <si>
    <t xml:space="preserve">Dividends at slab; 12.5% LTCG after 24 months</t>
  </si>
  <si>
    <t xml:space="preserve">Interest at slab</t>
  </si>
  <si>
    <t xml:space="preserve">Regulatory catch</t>
  </si>
  <si>
    <t xml:space="preserve">Convert within 10 years of issue, else a deposit</t>
  </si>
  <si>
    <t xml:space="preserve">None major</t>
  </si>
  <si>
    <t xml:space="preserve">Unsecured, unlisted NCDs to individuals are deposits</t>
  </si>
  <si>
    <t xml:space="preserve">5. Construction draw order</t>
  </si>
  <si>
    <t xml:space="preserve">Equity first</t>
  </si>
  <si>
    <t xml:space="preserve">Pro-rata</t>
  </si>
  <si>
    <t xml:space="preserve">Debt first</t>
  </si>
  <si>
    <t xml:space="preserve">Selected / lowest cost</t>
  </si>
  <si>
    <t xml:space="preserve">P3 total cost (₹ Cr)</t>
  </si>
  <si>
    <t xml:space="preserve">P4 total cost (₹ Cr)</t>
  </si>
  <si>
    <t xml:space="preserve">Debt first saves money only while equity is committed but not yet paid in; escrowed cash at close makes equity first cheapest.</t>
  </si>
  <si>
    <t xml:space="preserve">Funding Timeline — October 2026 to April 2028</t>
  </si>
  <si>
    <t xml:space="preserve">Bars show when each activity runs, by track. Amber = decision or money-in point. Dates are targets for discussion.</t>
  </si>
  <si>
    <t xml:space="preserve">Activity</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</si>
  <si>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</si>
  <si>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</si>
  <si>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</si>
  <si>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</si>
  <si>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</si>
  <si>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</si>
  <si>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</si>
  <si>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</si>
  <si>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</si>
  <si>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</si>
  <si>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</si>
  <si>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</si>
  <si>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</si>
  <si>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</si>
  <si>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</si>
  <si>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Jan-28</t>
  </si>
  <si>
    <t xml:space="preserve">Feb-28</t>
  </si>
  <si>
    <t xml:space="preserve">Mar-28</t>
  </si>
  <si>
    <t xml:space="preserve">Apr-28</t>
  </si>
  <si>
    <t xml:space="preserve">Disclosure note, credit clean-up, board and escrow</t>
  </si>
  <si>
    <t xml:space="preserve">Groundwork</t>
  </si>
  <si>
    <t xml:space="preserve">Information memorandum, data room, model</t>
  </si>
  <si>
    <t xml:space="preserve">NBFC indicative terms</t>
  </si>
  <si>
    <t xml:space="preserve">1 · P3 debt</t>
  </si>
  <si>
    <t xml:space="preserve">Lead lender, independent engineer report</t>
  </si>
  <si>
    <t xml:space="preserve">Credit approval and loan documents</t>
  </si>
  <si>
    <t xml:space="preserve">P3 financial close</t>
  </si>
  <si>
    <t xml:space="preserve">Build and debt draws (Jul–Oct)</t>
  </si>
  <si>
    <t xml:space="preserve">P3 COD</t>
  </si>
  <si>
    <t xml:space="preserve">HNI soft commitments (aim 1.3–1.5x)</t>
  </si>
  <si>
    <t xml:space="preserve">2 · HNI</t>
  </si>
  <si>
    <t xml:space="preserve">HNI subscriptions signed, conditional on close</t>
  </si>
  <si>
    <t xml:space="preserve">HNI money in at close</t>
  </si>
  <si>
    <t xml:space="preserve">COD liquidity window: HNIs may sell</t>
  </si>
  <si>
    <t xml:space="preserve">Early institutional talks (P3+P4)</t>
  </si>
  <si>
    <t xml:space="preserve">3 · Institutional</t>
  </si>
  <si>
    <t xml:space="preserve">Institutional term sheet</t>
  </si>
  <si>
    <t xml:space="preserve">Commitment letter signed</t>
  </si>
  <si>
    <t xml:space="preserve">Institutional round: funds P4, buys HNIs who sell</t>
  </si>
  <si>
    <t xml:space="preserve">P4 loan process (banks / IREDA)</t>
  </si>
  <si>
    <t xml:space="preserve">4 · P4 debt</t>
  </si>
  <si>
    <t xml:space="preserve">Amber = decision or money-in point. Dates are targets for discussion.</t>
  </si>
  <si>
    <t xml:space="preserve">Sources &amp; Uses and Debt Sizing — per SPV</t>
  </si>
  <si>
    <t xml:space="preserve">Debt is sized first: the facility is the lower of 70% gearing and DSCR capacity on the chosen case. HoldCo funds the residual.</t>
  </si>
  <si>
    <t xml:space="preserve">Construction cost</t>
  </si>
  <si>
    <t xml:space="preserve">Hard capex (EPC)</t>
  </si>
  <si>
    <t xml:space="preserve">Construction capex</t>
  </si>
  <si>
    <t xml:space="preserve">Construction capex per kWp (₹)</t>
  </si>
  <si>
    <t xml:space="preserve">Debt sizing (debt first)</t>
  </si>
  <si>
    <t xml:space="preserve">Financing cost factor (IDC + fees, % of facility)</t>
  </si>
  <si>
    <t xml:space="preserve">A. Gearing-sized debt: 70% of total uses</t>
  </si>
  <si>
    <t xml:space="preserve">B. DSCR capacity at target, P50 base case</t>
  </si>
  <si>
    <t xml:space="preserve">C. DSCR capacity at target, P90 lender case</t>
  </si>
  <si>
    <t xml:space="preserve">DSCR capacity on the chosen sizing case</t>
  </si>
  <si>
    <t xml:space="preserve">Senior debt facility = lower of A and chosen case</t>
  </si>
  <si>
    <t xml:space="preserve">Equity needed above the 70% plan (contingent equity)</t>
  </si>
  <si>
    <t xml:space="preserve">Uses</t>
  </si>
  <si>
    <t xml:space="preserve">Interest during construction (chosen draw order)</t>
  </si>
  <si>
    <t xml:space="preserve">Construction draw order used</t>
  </si>
  <si>
    <t xml:space="preserve">Arrangement and commitment fees</t>
  </si>
  <si>
    <t xml:space="preserve">Total uses (incl. any DSRA funded at COD, row 44)</t>
  </si>
  <si>
    <t xml:space="preserve">Sources</t>
  </si>
  <si>
    <t xml:space="preserve">Senior debt (SPV)</t>
  </si>
  <si>
    <t xml:space="preserve">HoldCo injection (residual)</t>
  </si>
  <si>
    <t xml:space="preserve">   of which equity shares</t>
  </si>
  <si>
    <t xml:space="preserve">   of which CCD / NCD</t>
  </si>
  <si>
    <t xml:space="preserve">Total sources</t>
  </si>
  <si>
    <t xml:space="preserve">Gearing (debt ÷ total uses)</t>
  </si>
  <si>
    <t xml:space="preserve">Check: sources − uses</t>
  </si>
  <si>
    <t xml:space="preserve">Pre-close cash (HoldCo-funded before close; PMC and premium are capitalised in the SPV, row 43)</t>
  </si>
  <si>
    <t xml:space="preserve">Performance bank guarantee (non-cash)</t>
  </si>
  <si>
    <t xml:space="preserve">Cash margin on the PBG (nil with a surety bond)</t>
  </si>
  <si>
    <t xml:space="preserve">Surety-bond premium (if used)</t>
  </si>
  <si>
    <t xml:space="preserve">Pre-close cash need</t>
  </si>
  <si>
    <t xml:space="preserve">Total HoldCo funding for the SPV</t>
  </si>
  <si>
    <t xml:space="preserve">Capitalised cost in the SPV (uses excl. DSRA, plus PMC and surety premium)</t>
  </si>
  <si>
    <t xml:space="preserve">DSRA funded in cash at COD (in total uses when switched on)</t>
  </si>
  <si>
    <t xml:space="preserve">Construction draws — equity first, pro-rata or debt first, per SPV</t>
  </si>
  <si>
    <t xml:space="preserve">Monthly. Debt share = lower of max gearing and DSCR capacity ÷ capex. Cost of each order = IDC on debt + carrying cost of HoldCo cash, both to COD. The chosen order feeds Sources &amp; Uses and the HoldCo bridge.</t>
  </si>
  <si>
    <t xml:space="preserve">Construction month</t>
  </si>
  <si>
    <t xml:space="preserve">Total</t>
  </si>
  <si>
    <t xml:space="preserve">Capex draw profile (input)</t>
  </si>
  <si>
    <t xml:space="preserve">Capex drawn (₹ Cr)</t>
  </si>
  <si>
    <t xml:space="preserve">Cumulative capex</t>
  </si>
  <si>
    <t xml:space="preserve">1. Equity first — cumulative debt</t>
  </si>
  <si>
    <t xml:space="preserve">   debt drawn</t>
  </si>
  <si>
    <t xml:space="preserve">   HoldCo cash drawn</t>
  </si>
  <si>
    <t xml:space="preserve">   IDC</t>
  </si>
  <si>
    <t xml:space="preserve">   carrying cost of HoldCo cash to COD</t>
  </si>
  <si>
    <t xml:space="preserve">2. Pro-rata — cumulative debt</t>
  </si>
  <si>
    <t xml:space="preserve">3. Debt first — cumulative debt</t>
  </si>
  <si>
    <t xml:space="preserve">Debt share of capex</t>
  </si>
  <si>
    <t xml:space="preserve">Debt during construction (₹ Cr)</t>
  </si>
  <si>
    <t xml:space="preserve">Draw order</t>
  </si>
  <si>
    <t xml:space="preserve">IDC</t>
  </si>
  <si>
    <t xml:space="preserve">Cash carrying cost</t>
  </si>
  <si>
    <t xml:space="preserve">Total cost</t>
  </si>
  <si>
    <t xml:space="preserve">Equity-weighted month</t>
  </si>
  <si>
    <t xml:space="preserve">HoldCo cash by month 2</t>
  </si>
  <si>
    <t xml:space="preserve">1. Equity first</t>
  </si>
  <si>
    <t xml:space="preserve">2. Pro-rata</t>
  </si>
  <si>
    <t xml:space="preserve">3. Debt first</t>
  </si>
  <si>
    <t xml:space="preserve">Selected draw order (index)</t>
  </si>
  <si>
    <t xml:space="preserve">Selected draw order</t>
  </si>
  <si>
    <t xml:space="preserve">IDC as % of construction debt</t>
  </si>
  <si>
    <t xml:space="preserve">Equity-weighted draw month</t>
  </si>
  <si>
    <t xml:space="preserve">Bridge outstanding in FC year (fraction of year)</t>
  </si>
  <si>
    <t xml:space="preserve">Lowest-cost draw order (for comparison)</t>
  </si>
  <si>
    <t xml:space="preserve">Lenders normally require equity in first or alongside. Debt first for P3 needs an equity bridge, a contingent-equity LC or a sponsor guarantee that the equity will come.</t>
  </si>
  <si>
    <t xml:space="preserve">SPV3 (P3) — Annual operations, senior debt and cash to HoldCo</t>
  </si>
  <si>
    <t xml:space="preserve">Year 0 is the construction FY (debt drawn at COD, stub months of operation). Columns E:AD = years 0–25. Column D = total or key result.</t>
  </si>
  <si>
    <t xml:space="preserve">Timeline</t>
  </si>
  <si>
    <t xml:space="preserve">Year index (0 = construction FY)</t>
  </si>
  <si>
    <t xml:space="preserve">Total / result</t>
  </si>
  <si>
    <t xml:space="preserve">Operating fraction of year</t>
  </si>
  <si>
    <t xml:space="preserve">Repayment flag</t>
  </si>
  <si>
    <t xml:space="preserve">Operations</t>
  </si>
  <si>
    <t xml:space="preserve">Degradation factor</t>
  </si>
  <si>
    <t xml:space="preserve">Generation, P50</t>
  </si>
  <si>
    <t xml:space="preserve">MWh</t>
  </si>
  <si>
    <t xml:space="preserve">Generation, P90</t>
  </si>
  <si>
    <t xml:space="preserve">Revenue, P50</t>
  </si>
  <si>
    <t xml:space="preserve">Revenue, P90</t>
  </si>
  <si>
    <t xml:space="preserve">Operating cost</t>
  </si>
  <si>
    <t xml:space="preserve">EBITDA, P50 (pre-tax CFADS)</t>
  </si>
  <si>
    <t xml:space="preserve">EBITDA, P90 (lender case)</t>
  </si>
  <si>
    <t xml:space="preserve">Debt sizing — debt first, sculpted to the target DSCR</t>
  </si>
  <si>
    <t xml:space="preserve">CFADS on the chosen sizing case</t>
  </si>
  <si>
    <t xml:space="preserve">Discount factor at the loan rate</t>
  </si>
  <si>
    <t xml:space="preserve">PV of debt service capacity, P50</t>
  </si>
  <si>
    <t xml:space="preserve">PV of debt service capacity, P90</t>
  </si>
  <si>
    <t xml:space="preserve">Scheduled debt service (sculpted)</t>
  </si>
  <si>
    <t xml:space="preserve">Opening balance</t>
  </si>
  <si>
    <t xml:space="preserve">Drawdown</t>
  </si>
  <si>
    <t xml:space="preserve">Interest (post-COD)</t>
  </si>
  <si>
    <t xml:space="preserve">Principal repayment</t>
  </si>
  <si>
    <t xml:space="preserve">Closing balance</t>
  </si>
  <si>
    <t xml:space="preserve">DSCR, P50 (pre-tax)</t>
  </si>
  <si>
    <t xml:space="preserve">DSCR, P90 (pre-tax)</t>
  </si>
  <si>
    <t xml:space="preserve">DSCR, P50 (post-tax)</t>
  </si>
  <si>
    <t xml:space="preserve">Depreciation and tax</t>
  </si>
  <si>
    <t xml:space="preserve">Book value, opening</t>
  </si>
  <si>
    <t xml:space="preserve">Book depreciation</t>
  </si>
  <si>
    <t xml:space="preserve">Book value, closing</t>
  </si>
  <si>
    <t xml:space="preserve">Tax WDV, opening (incl. inverter replacement, added to the block)</t>
  </si>
  <si>
    <t xml:space="preserve">Tax depreciation</t>
  </si>
  <si>
    <t xml:space="preserve">Tax WDV, closing</t>
  </si>
  <si>
    <t xml:space="preserve">LC fee (if DSRA is an LC)</t>
  </si>
  <si>
    <t xml:space="preserve">Taxable income before losses</t>
  </si>
  <si>
    <t xml:space="preserve">Tax losses brought forward</t>
  </si>
  <si>
    <t xml:space="preserve">Losses used</t>
  </si>
  <si>
    <t xml:space="preserve">Tax losses carried forward</t>
  </si>
  <si>
    <t xml:space="preserve">Tax paid</t>
  </si>
  <si>
    <t xml:space="preserve">Profit after tax (book; inverter replacement expensed)</t>
  </si>
  <si>
    <t xml:space="preserve">Cash waterfall</t>
  </si>
  <si>
    <t xml:space="preserve">CFADS after tax and lifecycle capex</t>
  </si>
  <si>
    <t xml:space="preserve">Cash after senior debt service</t>
  </si>
  <si>
    <t xml:space="preserve">DSRA target (cash form)</t>
  </si>
  <si>
    <t xml:space="preserve">DSRA opening</t>
  </si>
  <si>
    <t xml:space="preserve">DSRA top-up from cash</t>
  </si>
  <si>
    <t xml:space="preserve">DSRA release</t>
  </si>
  <si>
    <t xml:space="preserve">DSRA closing</t>
  </si>
  <si>
    <t xml:space="preserve">Cash available for shareholders this year</t>
  </si>
  <si>
    <t xml:space="preserve">Cash held in the SPV, opening</t>
  </si>
  <si>
    <t xml:space="preserve">Cash available to pay HoldCo</t>
  </si>
  <si>
    <t xml:space="preserve">HoldCo → SPV instruments (equity shares + CCD or NCD) and how cash returns</t>
  </si>
  <si>
    <t xml:space="preserve">Equity shares subscribed by HoldCo (incl. pre-close PMC, capitalised)</t>
  </si>
  <si>
    <t xml:space="preserve">CCD / NCD balance, opening</t>
  </si>
  <si>
    <t xml:space="preserve">CCD / NCD subscribed by HoldCo</t>
  </si>
  <si>
    <t xml:space="preserve">Coupon accrued (from the date HoldCo cash goes in)</t>
  </si>
  <si>
    <t xml:space="preserve">1. Coupon paid (surplus cash only, from the servicing year)</t>
  </si>
  <si>
    <t xml:space="preserve">Unpaid coupon added to the balance (cumulative)</t>
  </si>
  <si>
    <t xml:space="preserve">Cash after coupon</t>
  </si>
  <si>
    <t xml:space="preserve">Distributable reserves, opening</t>
  </si>
  <si>
    <t xml:space="preserve">2. Dividend (capped at distributable profit; after any NCD principal)</t>
  </si>
  <si>
    <t xml:space="preserve">Distributable reserves, closing</t>
  </si>
  <si>
    <t xml:space="preserve">Cash left after coupon, NCD principal and dividends</t>
  </si>
  <si>
    <t xml:space="preserve">3. NCD principal (ranks ahead of dividends; none for a CCD)</t>
  </si>
  <si>
    <t xml:space="preserve">CCD converted into equity shares (no cash)</t>
  </si>
  <si>
    <t xml:space="preserve">CCD / NCD balance, closing</t>
  </si>
  <si>
    <t xml:space="preserve">Cash left after routes 1–3</t>
  </si>
  <si>
    <t xml:space="preserve">Equity share capital, opening</t>
  </si>
  <si>
    <t xml:space="preserve">4. Capital reduction (after senior debt is repaid)</t>
  </si>
  <si>
    <t xml:space="preserve">Equity share capital, closing</t>
  </si>
  <si>
    <t xml:space="preserve">Cash left after all routes</t>
  </si>
  <si>
    <t xml:space="preserve">5. Final-year capital return</t>
  </si>
  <si>
    <t xml:space="preserve">Cash held in the SPV, closing (trapped)</t>
  </si>
  <si>
    <t xml:space="preserve">Returns to HoldCo</t>
  </si>
  <si>
    <t xml:space="preserve">Cash paid to HoldCo (1 to 5)</t>
  </si>
  <si>
    <t xml:space="preserve">HoldCo investment (equity shares + CCD / NCD)</t>
  </si>
  <si>
    <t xml:space="preserve">Net HoldCo cash flow — with instrument limits</t>
  </si>
  <si>
    <t xml:space="preserve">Net cash flow if all free cash could leave (lender-pack basis)</t>
  </si>
  <si>
    <t xml:space="preserve">Project cash flow, pre-tax, unlevered</t>
  </si>
  <si>
    <t xml:space="preserve">Key results</t>
  </si>
  <si>
    <t xml:space="preserve">SPV equity IRR to HoldCo — with instrument limits</t>
  </si>
  <si>
    <t xml:space="preserve">SPV equity IRR — lender-pack basis (all free cash paid)</t>
  </si>
  <si>
    <t xml:space="preserve">Project IRR, pre-tax, unlevered</t>
  </si>
  <si>
    <t xml:space="preserve">NPV of HoldCo cash flow at the discount rate (₹ Cr)</t>
  </si>
  <si>
    <t xml:space="preserve">HoldCo MOIC (cash back ÷ invested)</t>
  </si>
  <si>
    <t xml:space="preserve">Average DSCR, P50, repayment years</t>
  </si>
  <si>
    <t xml:space="preserve">Balance sheet check</t>
  </si>
  <si>
    <t xml:space="preserve">Assets: book value + DSRA + cash held</t>
  </si>
  <si>
    <t xml:space="preserve">Liabilities: senior debt + CCD / NCD</t>
  </si>
  <si>
    <t xml:space="preserve">Equity: share capital + distributable reserves</t>
  </si>
  <si>
    <t xml:space="preserve">Difference (should be zero)</t>
  </si>
  <si>
    <t xml:space="preserve">SPV4 (P4) — Annual operations, senior debt and cash to HoldCo</t>
  </si>
  <si>
    <t xml:space="preserve">HoldCo — Investor funding, transfers to SPV3 &amp; SPV4, and cash back to investors</t>
  </si>
  <si>
    <t xml:space="preserve">Promoter cash first, then an equity bridge, then the institutional round priced at P3 COD (CCPS + partner CCD). Columns E:AH = FY2027–FY2056.</t>
  </si>
  <si>
    <t xml:space="preserve">Final operating year flag</t>
  </si>
  <si>
    <t xml:space="preserve">1. HoldCo uses: transfers into the SPVs and pre-close cash</t>
  </si>
  <si>
    <t xml:space="preserve">Equity shares into SPV3</t>
  </si>
  <si>
    <t xml:space="preserve">CCD / NCD into SPV3</t>
  </si>
  <si>
    <t xml:space="preserve">Equity shares into SPV4</t>
  </si>
  <si>
    <t xml:space="preserve">CCD / NCD into SPV4</t>
  </si>
  <si>
    <t xml:space="preserve">PMC and any surety premium paid before close</t>
  </si>
  <si>
    <t xml:space="preserve">PBG cash margin posted</t>
  </si>
  <si>
    <t xml:space="preserve">HoldCo tax paid (previous year's tax)</t>
  </si>
  <si>
    <t xml:space="preserve">Total HoldCo uses</t>
  </si>
  <si>
    <t xml:space="preserve">2. Receipts from the SPVs</t>
  </si>
  <si>
    <t xml:space="preserve">CCD / NCD coupon received</t>
  </si>
  <si>
    <t xml:space="preserve">NCD principal received</t>
  </si>
  <si>
    <t xml:space="preserve">Dividends received</t>
  </si>
  <si>
    <t xml:space="preserve">Capital reductions received</t>
  </si>
  <si>
    <t xml:space="preserve">Final-year capital returns</t>
  </si>
  <si>
    <t xml:space="preserve">PBG cash margin released</t>
  </si>
  <si>
    <t xml:space="preserve">Total receipts</t>
  </si>
  <si>
    <t xml:space="preserve">Funding need (uses above receipts)</t>
  </si>
  <si>
    <t xml:space="preserve">Surplus for investors (receipts above uses)</t>
  </si>
  <si>
    <t xml:space="preserve">3. Who funds the need: promoter → equity bridge → institutional round at COD</t>
  </si>
  <si>
    <t xml:space="preserve">Promoter cash available, opening</t>
  </si>
  <si>
    <t xml:space="preserve">Promoter cash used</t>
  </si>
  <si>
    <t xml:space="preserve">Promoter cash available, closing</t>
  </si>
  <si>
    <t xml:space="preserve">Need after promoter cash</t>
  </si>
  <si>
    <t xml:space="preserve">HNI pre-COD CCD subscribed</t>
  </si>
  <si>
    <t xml:space="preserve">Need after promoter and HNI money</t>
  </si>
  <si>
    <t xml:space="preserve">Equity bridge, opening</t>
  </si>
  <si>
    <t xml:space="preserve">0</t>
  </si>
  <si>
    <t xml:space="preserve">Equity bridge drawn</t>
  </si>
  <si>
    <t xml:space="preserve">Bridge interest (capitalised)</t>
  </si>
  <si>
    <t xml:space="preserve">Bridge repaid from the round</t>
  </si>
  <si>
    <t xml:space="preserve">Equity bridge, closing</t>
  </si>
  <si>
    <t xml:space="preserve">peak</t>
  </si>
  <si>
    <t xml:space="preserve">Institutional capital drawn</t>
  </si>
  <si>
    <t xml:space="preserve">   as CCPS (HoldCo equity)</t>
  </si>
  <si>
    <t xml:space="preserve">   as partner CCD / NCD</t>
  </si>
  <si>
    <t xml:space="preserve">4. Partner CCD / NCD tranche, HoldCo profit, tax and dividends</t>
  </si>
  <si>
    <t xml:space="preserve">Partner CCD / NCD, opening</t>
  </si>
  <si>
    <t xml:space="preserve">Coupon accrued (from the round date)</t>
  </si>
  <si>
    <t xml:space="preserve">HNI CCD, opening</t>
  </si>
  <si>
    <t xml:space="preserve">HNI coupon accrued (from close or call)</t>
  </si>
  <si>
    <t xml:space="preserve">HoldCo cash held, opening</t>
  </si>
  <si>
    <t xml:space="preserve">Cash available for investors</t>
  </si>
  <si>
    <t xml:space="preserve">Partner coupon paid (pro-rata with HNI)</t>
  </si>
  <si>
    <t xml:space="preserve">HNI coupon paid (pro-rata with partner)</t>
  </si>
  <si>
    <t xml:space="preserve">Unpaid partner coupon added to the balance</t>
  </si>
  <si>
    <t xml:space="preserve">Unpaid HNI coupon added to the balance</t>
  </si>
  <si>
    <t xml:space="preserve">Cash after coupons</t>
  </si>
  <si>
    <t xml:space="preserve">Partner coupon deductible (s.94B cap if non-resident)</t>
  </si>
  <si>
    <t xml:space="preserve">Taxable income (SPV coupon accrued − costs − deductible coupons)</t>
  </si>
  <si>
    <t xml:space="preserve">Tax</t>
  </si>
  <si>
    <t xml:space="preserve">HoldCo profit after tax</t>
  </si>
  <si>
    <t xml:space="preserve">Dividend to shareholders (capped at distributable profit)</t>
  </si>
  <si>
    <t xml:space="preserve">Cash left after coupons, NCD principal and dividends</t>
  </si>
  <si>
    <t xml:space="preserve">Partner NCD principal (ranks ahead of dividends; none for a CCD)</t>
  </si>
  <si>
    <t xml:space="preserve">Partner CCD converted into HoldCo equity (no cash)</t>
  </si>
  <si>
    <t xml:space="preserve">Partner CCD / NCD, closing</t>
  </si>
  <si>
    <t xml:space="preserve">HNI CCD converted into HoldCo equity (no cash)</t>
  </si>
  <si>
    <t xml:space="preserve">HNI CCD, closing</t>
  </si>
  <si>
    <t xml:space="preserve">Cash left after the partner tranche</t>
  </si>
  <si>
    <t xml:space="preserve">HoldCo equity capital, opening</t>
  </si>
  <si>
    <t xml:space="preserve">HoldCo capital reduction</t>
  </si>
  <si>
    <t xml:space="preserve">HoldCo equity capital, closing</t>
  </si>
  <si>
    <t xml:space="preserve">Final-year capital return to shareholders</t>
  </si>
  <si>
    <t xml:space="preserve">HoldCo cash held, closing</t>
  </si>
  <si>
    <t xml:space="preserve">Total shareholder distributions</t>
  </si>
  <si>
    <t xml:space="preserve">6. Split between HNIs (pro-rata), partner and promoter (15% preferred return, then 20% promote)</t>
  </si>
  <si>
    <t xml:space="preserve">HNI share of distributions (pro-rata)</t>
  </si>
  <si>
    <t xml:space="preserve">Partner contributions (CCPS + CCD / NCD)</t>
  </si>
  <si>
    <t xml:space="preserve">Partner coupon and NCD principal received</t>
  </si>
  <si>
    <t xml:space="preserve">Partner hurdle balance before distributions</t>
  </si>
  <si>
    <t xml:space="preserve">Partner pro-rata share of distributions</t>
  </si>
  <si>
    <t xml:space="preserve">Partner distributions</t>
  </si>
  <si>
    <t xml:space="preserve">Promoter distributions (incl. promote)</t>
  </si>
  <si>
    <t xml:space="preserve">Partner hurdle balance, closing</t>
  </si>
  <si>
    <t xml:space="preserve">7. Investor cash flows</t>
  </si>
  <si>
    <t xml:space="preserve">HNI CCDs sold to the partner at the COD round</t>
  </si>
  <si>
    <t xml:space="preserve">Share of the HNI tranche still held by HNIs</t>
  </si>
  <si>
    <t xml:space="preserve">Partner net cash flow (incl. any HNI buy-out)</t>
  </si>
  <si>
    <t xml:space="preserve">Promoter net cash flow</t>
  </si>
  <si>
    <t xml:space="preserve">HNI net cash flow (after any COD sale)</t>
  </si>
  <si>
    <t xml:space="preserve">HNI net cash flow after personal tax</t>
  </si>
  <si>
    <t xml:space="preserve">All HoldCo investors, net cash flow</t>
  </si>
  <si>
    <t xml:space="preserve">8. Option: partner sells its whole stake after the lock-in (promoter unaffected)</t>
  </si>
  <si>
    <t xml:space="preserve">Partner cash after the sale year, incl. any HNI CCDs it bought (what the buyer acquires)</t>
  </si>
  <si>
    <t xml:space="preserve">Discount factor at the buyer's return</t>
  </si>
  <si>
    <t xml:space="preserve">Partner net cash flow with the sale</t>
  </si>
  <si>
    <t xml:space="preserve">9. Option: HNIs sell their pre-COD CCDs or shares</t>
  </si>
  <si>
    <t xml:space="preserve">HNI cash after the sale year (what a buyer acquires)</t>
  </si>
  <si>
    <t xml:space="preserve">HNI net cash flow with the sale</t>
  </si>
  <si>
    <t xml:space="preserve">HoldCo tax, cumulative</t>
  </si>
  <si>
    <t xml:space="preserve">Ownership (institutional round priced at COD) and investor returns</t>
  </si>
  <si>
    <t xml:space="preserve">Partner equity: CCPS + converted CCD (₹ Cr)</t>
  </si>
  <si>
    <t xml:space="preserve">Promoter cash invested (₹ Cr)</t>
  </si>
  <si>
    <t xml:space="preserve">Promoter share if priced at cost (no COD step-up)</t>
  </si>
  <si>
    <t xml:space="preserve">Partner IRR (CCPS + CCD / NCD, incl. any HNI buy-out)</t>
  </si>
  <si>
    <t xml:space="preserve">Partner NPV at the discount rate (₹ Cr)</t>
  </si>
  <si>
    <t xml:space="preserve">All HoldCo investors IRR</t>
  </si>
  <si>
    <t xml:space="preserve">Stake sale: price (buyer's DCF of partner cash after the sale, ₹ Cr)</t>
  </si>
  <si>
    <t xml:space="preserve">Stake sale: transaction costs (₹ Cr)</t>
  </si>
  <si>
    <t xml:space="preserve">Stake sale: partner cost basis, incl. any HNI buy-out (₹ Cr)</t>
  </si>
  <si>
    <t xml:space="preserve">Stake sale: capital-gains tax (s.50AA on the CCD part if sold before conversion, ₹ Cr)</t>
  </si>
  <si>
    <t xml:space="preserve">Stake sale: net proceeds to the partner (₹ Cr)</t>
  </si>
  <si>
    <t xml:space="preserve">Partner IRR with the stake sale</t>
  </si>
  <si>
    <t xml:space="preserve">Partner MOIC with the stake sale</t>
  </si>
  <si>
    <t xml:space="preserve">HNI equity credit: converted CCD × price credit (₹ Cr)</t>
  </si>
  <si>
    <t xml:space="preserve">Partner share of non-HNI equity (for the waterfall)</t>
  </si>
  <si>
    <t xml:space="preserve">HNI sale: price (buyer's DCF, ₹ Cr)</t>
  </si>
  <si>
    <t xml:space="preserve">HNI sale: net proceeds after costs and tax (₹ Cr)</t>
  </si>
  <si>
    <t xml:space="preserve">HNI IRR with the sale</t>
  </si>
  <si>
    <t xml:space="preserve">HNI MOIC, hold to term</t>
  </si>
  <si>
    <t xml:space="preserve">HNI MOIC with the sale</t>
  </si>
  <si>
    <t xml:space="preserve">HNI return if selling at the round, annualised</t>
  </si>
  <si>
    <t xml:space="preserve">HNI return selling at the round, after s.50AA slab tax, annualised</t>
  </si>
  <si>
    <t xml:space="preserve">HNI IRR after personal tax (as held / sold)</t>
  </si>
  <si>
    <t xml:space="preserve">Accounting: accrual income and balance sheet check</t>
  </si>
  <si>
    <t xml:space="preserve">SPV CCD / NCD coupon accrued (HoldCo income, accrual basis)</t>
  </si>
  <si>
    <t xml:space="preserve">Assets: SPV shares and CCD / NCD held, plus pre-close spend</t>
  </si>
  <si>
    <t xml:space="preserve">Assets: PBG cash margin deposited</t>
  </si>
  <si>
    <t xml:space="preserve">Assets: cash held</t>
  </si>
  <si>
    <t xml:space="preserve">Liabilities: bridge + partner and HNI CCD / NCD + tax payable</t>
  </si>
  <si>
    <t xml:space="preserve">Model checks</t>
  </si>
  <si>
    <t xml:space="preserve">Each check returns TRUE when it passes.</t>
  </si>
  <si>
    <t xml:space="preserve">Sources = uses, SPV3</t>
  </si>
  <si>
    <t xml:space="preserve">Sources = uses, SPV4</t>
  </si>
  <si>
    <t xml:space="preserve">Senior debt fully repaid, SPV3</t>
  </si>
  <si>
    <t xml:space="preserve">Senior debt fully repaid, SPV4</t>
  </si>
  <si>
    <t xml:space="preserve">Min P50 DSCR ≥ target, SPV3</t>
  </si>
  <si>
    <t xml:space="preserve">Min P50 DSCR ≥ target, SPV4</t>
  </si>
  <si>
    <t xml:space="preserve">CCD converted / NCD repaid by end, SPV3</t>
  </si>
  <si>
    <t xml:space="preserve">CCD converted / NCD repaid by end, SPV4</t>
  </si>
  <si>
    <t xml:space="preserve">No cash left trapped at end, SPV3</t>
  </si>
  <si>
    <t xml:space="preserve">No cash left trapped at end, SPV4</t>
  </si>
  <si>
    <t xml:space="preserve">HoldCo funding identity: promoter + HNI + bridge + round − bridge repaid = need</t>
  </si>
  <si>
    <t xml:space="preserve">Equity bridge repaid</t>
  </si>
  <si>
    <t xml:space="preserve">Partner CCD converted / NCD repaid</t>
  </si>
  <si>
    <t xml:space="preserve">HNI CCD converted by end</t>
  </si>
  <si>
    <t xml:space="preserve">HNI CCDs convert within 10 years of issue (deposit rules)</t>
  </si>
  <si>
    <t xml:space="preserve">HNI share sold at COD is between 0% and 100%</t>
  </si>
  <si>
    <t xml:space="preserve">Ownership adds to 100%</t>
  </si>
  <si>
    <t xml:space="preserve">HoldCo cash never negative</t>
  </si>
  <si>
    <t xml:space="preserve">Distributions split fully</t>
  </si>
  <si>
    <t xml:space="preserve">Cash conservation: SPV payments to HoldCo = HoldCo receipts</t>
  </si>
  <si>
    <t xml:space="preserve">Balance sheet balances every year, SPV3</t>
  </si>
  <si>
    <t xml:space="preserve">Balance sheet balances every year, SPV4</t>
  </si>
  <si>
    <t xml:space="preserve">Balance sheet balances every year, HoldCo</t>
  </si>
</sst>
</file>

<file path=xl/styles.xml><?xml version="1.0" encoding="utf-8"?>
<styleSheet xmlns="http://schemas.openxmlformats.org/spreadsheetml/2006/main">
  <numFmts count="13">
    <numFmt numFmtId="164" formatCode="General"/>
    <numFmt numFmtId="165" formatCode="#,##0;\(#,##0\);\-"/>
    <numFmt numFmtId="166" formatCode="#,##0.00;\(#,##0.00\);\-"/>
    <numFmt numFmtId="167" formatCode="0.0%;\(0.0%\);\-"/>
    <numFmt numFmtId="168" formatCode="0.00\x"/>
    <numFmt numFmtId="169" formatCode="General"/>
    <numFmt numFmtId="170" formatCode="&quot;FY&quot;0"/>
    <numFmt numFmtId="171" formatCode="0.00%;\(0.00%\);\-"/>
    <numFmt numFmtId="172" formatCode="#,##0.0;\(#,##0.0\);\-"/>
    <numFmt numFmtId="173" formatCode="0.0"/>
    <numFmt numFmtId="174" formatCode="0.00"/>
    <numFmt numFmtId="175" formatCode="0.000"/>
    <numFmt numFmtId="176" formatCode="0%"/>
  </numFmts>
  <fonts count="12">
    <font>
      <sz val="11"/>
      <color theme="1"/>
      <name val="Calibri"/>
      <family val="2"/>
      <charset val="1"/>
    </font>
    <font>
      <sz val="10"/>
      <name val="Arial"/>
      <family val="0"/>
    </font>
    <font>
      <sz val="10"/>
      <name val="Arial"/>
      <family val="0"/>
    </font>
    <font>
      <sz val="10"/>
      <name val="Arial"/>
      <family val="0"/>
    </font>
    <font>
      <b val="true"/>
      <sz val="14"/>
      <color rgb="FF0F3D3E"/>
      <name val="Arial"/>
      <family val="0"/>
      <charset val="1"/>
    </font>
    <font>
      <i val="true"/>
      <sz val="9"/>
      <color rgb="FF555555"/>
      <name val="Arial"/>
      <family val="0"/>
      <charset val="1"/>
    </font>
    <font>
      <sz val="10"/>
      <color rgb="FF00000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
      <sz val="11"/>
      <name val="Calibri"/>
      <family val="0"/>
      <charset val="1"/>
    </font>
  </fonts>
  <fills count="8">
    <fill>
      <patternFill patternType="none"/>
    </fill>
    <fill>
      <patternFill patternType="gray125"/>
    </fill>
    <fill>
      <patternFill patternType="solid">
        <fgColor rgb="FF0F3D3E"/>
        <bgColor rgb="FF333333"/>
      </patternFill>
    </fill>
    <fill>
      <patternFill patternType="solid">
        <fgColor rgb="FFDCE9E4"/>
        <bgColor rgb="FFCCFFFF"/>
      </patternFill>
    </fill>
    <fill>
      <patternFill patternType="solid">
        <fgColor rgb="FFFFFF00"/>
        <bgColor rgb="FFFFFF00"/>
      </patternFill>
    </fill>
    <fill>
      <patternFill patternType="solid">
        <fgColor rgb="FF8FB8AA"/>
        <bgColor rgb="FFBFBFBF"/>
      </patternFill>
    </fill>
    <fill>
      <patternFill patternType="solid">
        <fgColor rgb="FF2E7D6B"/>
        <bgColor rgb="FF008080"/>
      </patternFill>
    </fill>
    <fill>
      <patternFill patternType="solid">
        <fgColor rgb="FFF2A541"/>
        <bgColor rgb="FFFF8080"/>
      </patternFill>
    </fill>
  </fills>
  <borders count="2">
    <border diagonalUp="false" diagonalDown="false">
      <left/>
      <right/>
      <top/>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10" fillId="4" borderId="0" xfId="0" applyFont="true" applyBorder="false" applyAlignment="true" applyProtection="false">
      <alignment horizontal="general" vertical="bottom" textRotation="0" wrapText="false" indent="0" shrinkToFit="false"/>
      <protection locked="true" hidden="false"/>
    </xf>
    <xf numFmtId="170" fontId="10"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8" fontId="10" fillId="4"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67" fontId="6" fillId="4" borderId="0" xfId="0" applyFont="tru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74" fontId="6"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76" fontId="6"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9E4"/>
      <rgbColor rgb="FFFFFF99"/>
      <rgbColor rgb="FF99CCFF"/>
      <rgbColor rgb="FFFF99CC"/>
      <rgbColor rgb="FFCC99FF"/>
      <rgbColor rgb="FFFFCC99"/>
      <rgbColor rgb="FF3366FF"/>
      <rgbColor rgb="FF33CCCC"/>
      <rgbColor rgb="FF99CC00"/>
      <rgbColor rgb="FFFFCC00"/>
      <rgbColor rgb="FFF2A541"/>
      <rgbColor rgb="FFFF6600"/>
      <rgbColor rgb="FF555555"/>
      <rgbColor rgb="FF8FB8AA"/>
      <rgbColor rgb="FF0F3D3E"/>
      <rgbColor rgb="FF2E7D6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80"/>
  </cols>
  <sheetData>
    <row r="1" customFormat="false" ht="17.25" hidden="false" customHeight="true" outlineLevel="0" collapsed="false">
      <c r="B1" s="2" t="s">
        <v>0</v>
      </c>
    </row>
    <row r="2" customFormat="false" ht="15" hidden="false" customHeight="true" outlineLevel="0" collapsed="false">
      <c r="B2" s="3" t="s">
        <v>1</v>
      </c>
    </row>
    <row r="4" customFormat="false" ht="15" hidden="false" customHeight="true" outlineLevel="0" collapsed="false">
      <c r="B4" s="4" t="s">
        <v>2</v>
      </c>
    </row>
    <row r="5" customFormat="false" ht="15" hidden="false" customHeight="true" outlineLevel="0" collapsed="false">
      <c r="B5" s="4"/>
    </row>
    <row r="6" customFormat="false" ht="15" hidden="false" customHeight="true" outlineLevel="0" collapsed="false">
      <c r="B6" s="4" t="s">
        <v>3</v>
      </c>
    </row>
    <row r="7" customFormat="false" ht="15" hidden="false" customHeight="true" outlineLevel="0" collapsed="false">
      <c r="B7" s="4" t="s">
        <v>4</v>
      </c>
    </row>
    <row r="8" customFormat="false" ht="15" hidden="false" customHeight="true" outlineLevel="0" collapsed="false">
      <c r="B8" s="4" t="s">
        <v>5</v>
      </c>
    </row>
    <row r="9" customFormat="false" ht="15" hidden="false" customHeight="true" outlineLevel="0" collapsed="false">
      <c r="B9" s="4"/>
    </row>
    <row r="10" customFormat="false" ht="15" hidden="false" customHeight="true" outlineLevel="0" collapsed="false">
      <c r="B10" s="4" t="s">
        <v>6</v>
      </c>
    </row>
    <row r="11" customFormat="false" ht="15" hidden="false" customHeight="true" outlineLevel="0" collapsed="false">
      <c r="B11" s="4" t="s">
        <v>7</v>
      </c>
    </row>
    <row r="12" customFormat="false" ht="15" hidden="false" customHeight="true" outlineLevel="0" collapsed="false">
      <c r="B12" s="4"/>
    </row>
    <row r="13" customFormat="false" ht="15" hidden="false" customHeight="true" outlineLevel="0" collapsed="false">
      <c r="B13" s="4" t="s">
        <v>8</v>
      </c>
    </row>
    <row r="14" customFormat="false" ht="15" hidden="false" customHeight="true" outlineLevel="0" collapsed="false">
      <c r="B14" s="4" t="s">
        <v>9</v>
      </c>
    </row>
    <row r="15" customFormat="false" ht="15" hidden="false" customHeight="true" outlineLevel="0" collapsed="false">
      <c r="B15" s="4"/>
    </row>
    <row r="16" customFormat="false" ht="15" hidden="false" customHeight="true" outlineLevel="0" collapsed="false">
      <c r="B16" s="4" t="s">
        <v>10</v>
      </c>
    </row>
    <row r="17" customFormat="false" ht="15" hidden="false" customHeight="true" outlineLevel="0" collapsed="false">
      <c r="B17" s="4" t="s">
        <v>11</v>
      </c>
    </row>
    <row r="18" customFormat="false" ht="15" hidden="false" customHeight="true" outlineLevel="0" collapsed="false">
      <c r="B18" s="4" t="s">
        <v>12</v>
      </c>
    </row>
    <row r="19" customFormat="false" ht="15" hidden="false" customHeight="true" outlineLevel="0" collapsed="false">
      <c r="B19" s="4" t="s">
        <v>13</v>
      </c>
    </row>
    <row r="20" customFormat="false" ht="15" hidden="false" customHeight="true" outlineLevel="0" collapsed="false">
      <c r="B20" s="4" t="s">
        <v>14</v>
      </c>
    </row>
    <row r="21" customFormat="false" ht="15" hidden="false" customHeight="true" outlineLevel="0" collapsed="false">
      <c r="B21" s="4"/>
    </row>
    <row r="22" customFormat="false" ht="15" hidden="false" customHeight="true" outlineLevel="0" collapsed="false">
      <c r="B22" s="4" t="s">
        <v>15</v>
      </c>
    </row>
    <row r="23" customFormat="false" ht="15" hidden="false" customHeight="true" outlineLevel="0" collapsed="false">
      <c r="B23" s="4" t="s">
        <v>16</v>
      </c>
    </row>
    <row r="24" customFormat="false" ht="15" hidden="false" customHeight="true" outlineLevel="0" collapsed="false">
      <c r="B24" s="4" t="s">
        <v>17</v>
      </c>
    </row>
    <row r="25" customFormat="false" ht="15" hidden="false" customHeight="true" outlineLevel="0" collapsed="false">
      <c r="B25"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5" min="3" style="1" width="16"/>
    <col collapsed="false" customWidth="true" hidden="false" outlineLevel="0" max="11" min="6" style="1" width="14"/>
    <col collapsed="false" customWidth="true" hidden="false" outlineLevel="0" max="15" min="12" style="1" width="13"/>
  </cols>
  <sheetData>
    <row r="1" customFormat="false" ht="17.25" hidden="false" customHeight="true" outlineLevel="0" collapsed="false">
      <c r="B1" s="2" t="s">
        <v>19</v>
      </c>
    </row>
    <row r="2" customFormat="false" ht="15" hidden="false" customHeight="true" outlineLevel="0" collapsed="false">
      <c r="B2" s="3" t="s">
        <v>20</v>
      </c>
    </row>
    <row r="4" customFormat="false" ht="15" hidden="false" customHeight="true" outlineLevel="0" collapsed="false">
      <c r="B4" s="5" t="s">
        <v>21</v>
      </c>
      <c r="C4" s="5" t="s">
        <v>22</v>
      </c>
      <c r="D4" s="5" t="s">
        <v>23</v>
      </c>
      <c r="E4" s="5" t="s">
        <v>24</v>
      </c>
    </row>
    <row r="5" customFormat="false" ht="15" hidden="false" customHeight="true" outlineLevel="0" collapsed="false">
      <c r="B5" s="1" t="s">
        <v>25</v>
      </c>
      <c r="C5" s="6" t="n">
        <f aca="false">'Sources &amp; Uses'!C6</f>
        <v>25</v>
      </c>
      <c r="D5" s="6" t="n">
        <f aca="false">'Sources &amp; Uses'!D6</f>
        <v>50</v>
      </c>
      <c r="E5" s="6" t="n">
        <f aca="false">'Sources &amp; Uses'!E6</f>
        <v>75</v>
      </c>
    </row>
    <row r="6" customFormat="false" ht="15" hidden="false" customHeight="true" outlineLevel="0" collapsed="false">
      <c r="B6" s="1" t="s">
        <v>26</v>
      </c>
      <c r="C6" s="7" t="n">
        <f aca="false">'Sources &amp; Uses'!C11</f>
        <v>80.13265</v>
      </c>
      <c r="D6" s="7" t="n">
        <f aca="false">'Sources &amp; Uses'!D11</f>
        <v>160.2653</v>
      </c>
      <c r="E6" s="7" t="n">
        <f aca="false">'Sources &amp; Uses'!E11</f>
        <v>240.39795</v>
      </c>
    </row>
    <row r="7" customFormat="false" ht="15" hidden="false" customHeight="true" outlineLevel="0" collapsed="false">
      <c r="B7" s="1" t="s">
        <v>27</v>
      </c>
      <c r="C7" s="7" t="n">
        <f aca="false">'Sources &amp; Uses'!C27</f>
        <v>81.8249184462936</v>
      </c>
      <c r="D7" s="7" t="n">
        <f aca="false">'Sources &amp; Uses'!D27</f>
        <v>163.419728179536</v>
      </c>
      <c r="E7" s="7" t="n">
        <f aca="false">'Sources &amp; Uses'!E27</f>
        <v>245.244646625829</v>
      </c>
    </row>
    <row r="8" customFormat="false" ht="15" hidden="false" customHeight="true" outlineLevel="0" collapsed="false">
      <c r="B8" s="1" t="s">
        <v>28</v>
      </c>
      <c r="C8" s="7" t="n">
        <f aca="false">'Sources &amp; Uses'!C19</f>
        <v>53.5249528413889</v>
      </c>
      <c r="D8" s="7" t="n">
        <f aca="false">'Sources &amp; Uses'!D19</f>
        <v>107.049905682778</v>
      </c>
      <c r="E8" s="7" t="n">
        <f aca="false">'Sources &amp; Uses'!E19</f>
        <v>160.574858524167</v>
      </c>
    </row>
    <row r="9" customFormat="false" ht="15" hidden="false" customHeight="true" outlineLevel="0" collapsed="false">
      <c r="B9" s="1" t="s">
        <v>29</v>
      </c>
      <c r="C9" s="8" t="n">
        <f aca="false">'Sources &amp; Uses'!C34</f>
        <v>0.654140008419568</v>
      </c>
      <c r="D9" s="8" t="n">
        <f aca="false">'Sources &amp; Uses'!D34</f>
        <v>0.655061092533277</v>
      </c>
      <c r="E9" s="8" t="n">
        <f aca="false">'Sources &amp; Uses'!E34</f>
        <v>0.654753776416398</v>
      </c>
    </row>
    <row r="10" customFormat="false" ht="15" hidden="false" customHeight="true" outlineLevel="0" collapsed="false">
      <c r="B10" s="1" t="s">
        <v>30</v>
      </c>
      <c r="C10" s="9" t="str">
        <f aca="false">'Sources &amp; Uses'!C20</f>
        <v>DSCR, P90 case</v>
      </c>
      <c r="D10" s="9" t="str">
        <f aca="false">'Sources &amp; Uses'!D20</f>
        <v>DSCR, P90 case</v>
      </c>
    </row>
    <row r="11" customFormat="false" ht="15" hidden="false" customHeight="true" outlineLevel="0" collapsed="false">
      <c r="B11" s="1" t="s">
        <v>31</v>
      </c>
      <c r="C11" s="9" t="str">
        <f aca="false">'Sources &amp; Uses'!C25</f>
        <v>Debt first</v>
      </c>
      <c r="D11" s="9" t="str">
        <f aca="false">'Sources &amp; Uses'!D25</f>
        <v>Equity first</v>
      </c>
    </row>
    <row r="12" customFormat="false" ht="15" hidden="false" customHeight="true" outlineLevel="0" collapsed="false">
      <c r="B12" s="1" t="s">
        <v>32</v>
      </c>
      <c r="C12" s="7" t="n">
        <f aca="false">'Sources &amp; Uses'!C21</f>
        <v>3.83741791562714</v>
      </c>
      <c r="D12" s="7" t="n">
        <f aca="false">'Sources &amp; Uses'!D21</f>
        <v>7.49857585872935</v>
      </c>
      <c r="E12" s="7" t="n">
        <f aca="false">'Sources &amp; Uses'!E21</f>
        <v>11.3359937743565</v>
      </c>
    </row>
    <row r="13" customFormat="false" ht="15" hidden="false" customHeight="true" outlineLevel="0" collapsed="false">
      <c r="B13" s="1" t="s">
        <v>33</v>
      </c>
      <c r="C13" s="7" t="n">
        <f aca="false">'Sources &amp; Uses'!C30</f>
        <v>28.2999656049047</v>
      </c>
      <c r="D13" s="7" t="n">
        <f aca="false">'Sources &amp; Uses'!D30</f>
        <v>56.369822496758</v>
      </c>
      <c r="E13" s="7" t="n">
        <f aca="false">'Sources &amp; Uses'!E30</f>
        <v>84.6697881016627</v>
      </c>
    </row>
    <row r="14" customFormat="false" ht="15" hidden="false" customHeight="true" outlineLevel="0" collapsed="false">
      <c r="B14" s="1" t="s">
        <v>34</v>
      </c>
      <c r="C14" s="7" t="n">
        <f aca="false">'Sources &amp; Uses'!C31</f>
        <v>4.2449948407357</v>
      </c>
      <c r="D14" s="7" t="n">
        <f aca="false">'Sources &amp; Uses'!D31</f>
        <v>8.4554733745137</v>
      </c>
      <c r="E14" s="7" t="n">
        <f aca="false">'Sources &amp; Uses'!E31</f>
        <v>12.7004682152494</v>
      </c>
    </row>
    <row r="15" customFormat="false" ht="15" hidden="false" customHeight="true" outlineLevel="0" collapsed="false">
      <c r="B15" s="1" t="s">
        <v>35</v>
      </c>
      <c r="C15" s="7" t="n">
        <f aca="false">'Sources &amp; Uses'!C32</f>
        <v>24.054970764169</v>
      </c>
      <c r="D15" s="7" t="n">
        <f aca="false">'Sources &amp; Uses'!D32</f>
        <v>47.9143491222443</v>
      </c>
      <c r="E15" s="7" t="n">
        <f aca="false">'Sources &amp; Uses'!E32</f>
        <v>71.9693198864133</v>
      </c>
    </row>
    <row r="16" customFormat="false" ht="15" hidden="false" customHeight="true" outlineLevel="0" collapsed="false">
      <c r="B16" s="1" t="s">
        <v>36</v>
      </c>
      <c r="C16" s="7" t="n">
        <f aca="false">'Sources &amp; Uses'!C41</f>
        <v>5.39125</v>
      </c>
      <c r="D16" s="7" t="n">
        <f aca="false">'Sources &amp; Uses'!D41</f>
        <v>10.7825</v>
      </c>
      <c r="E16" s="7" t="n">
        <f aca="false">'Sources &amp; Uses'!E41</f>
        <v>16.17375</v>
      </c>
    </row>
    <row r="17" customFormat="false" ht="15" hidden="false" customHeight="true" outlineLevel="0" collapsed="false">
      <c r="B17" s="1" t="s">
        <v>37</v>
      </c>
      <c r="C17" s="10" t="n">
        <f aca="false">SPV3!D31</f>
        <v>1.40647828469058</v>
      </c>
      <c r="D17" s="10" t="n">
        <f aca="false">SPV4!D31</f>
        <v>1.40647828469058</v>
      </c>
    </row>
    <row r="18" customFormat="false" ht="15" hidden="false" customHeight="true" outlineLevel="0" collapsed="false">
      <c r="B18" s="1" t="s">
        <v>38</v>
      </c>
      <c r="C18" s="10" t="n">
        <f aca="false">SPV3!D32</f>
        <v>1.3</v>
      </c>
      <c r="D18" s="10" t="n">
        <f aca="false">SPV4!D32</f>
        <v>1.3</v>
      </c>
    </row>
    <row r="19" customFormat="false" ht="15" hidden="false" customHeight="true" outlineLevel="0" collapsed="false">
      <c r="B19" s="1" t="s">
        <v>39</v>
      </c>
      <c r="C19" s="8" t="n">
        <f aca="false">SPV3!D92</f>
        <v>0.159304348365746</v>
      </c>
      <c r="D19" s="8" t="n">
        <f aca="false">SPV4!D92</f>
        <v>0.154415074118947</v>
      </c>
    </row>
    <row r="20" customFormat="false" ht="15" hidden="false" customHeight="true" outlineLevel="0" collapsed="false">
      <c r="B20" s="1" t="s">
        <v>40</v>
      </c>
      <c r="C20" s="8" t="n">
        <f aca="false">SPV3!D91</f>
        <v>0.145645787089934</v>
      </c>
      <c r="D20" s="8" t="n">
        <f aca="false">SPV4!D91</f>
        <v>0.142923020411618</v>
      </c>
    </row>
    <row r="21" customFormat="false" ht="15" hidden="false" customHeight="true" outlineLevel="0" collapsed="false">
      <c r="B21" s="1" t="s">
        <v>41</v>
      </c>
      <c r="C21" s="8" t="n">
        <f aca="false">SPV3!D90</f>
        <v>0.141144122230697</v>
      </c>
      <c r="D21" s="8" t="n">
        <f aca="false">SPV4!D90</f>
        <v>0.139943605504676</v>
      </c>
    </row>
    <row r="22" customFormat="false" ht="15" hidden="false" customHeight="true" outlineLevel="0" collapsed="false">
      <c r="B22" s="1" t="s">
        <v>42</v>
      </c>
      <c r="C22" s="7" t="n">
        <f aca="false">SPV3!D95</f>
        <v>8.50572826970247</v>
      </c>
      <c r="D22" s="7" t="n">
        <f aca="false">SPV4!D95</f>
        <v>13.8254593323758</v>
      </c>
    </row>
    <row r="24" customFormat="false" ht="15" hidden="false" customHeight="true" outlineLevel="0" collapsed="false">
      <c r="B24" s="5" t="s">
        <v>43</v>
      </c>
      <c r="C24" s="5"/>
      <c r="D24" s="5"/>
      <c r="E24" s="5" t="s">
        <v>24</v>
      </c>
    </row>
    <row r="25" customFormat="false" ht="15" hidden="false" customHeight="true" outlineLevel="0" collapsed="false">
      <c r="B25" s="1" t="s">
        <v>44</v>
      </c>
      <c r="E25" s="7" t="n">
        <f aca="false">HoldCo!D25</f>
        <v>98.1286861293178</v>
      </c>
    </row>
    <row r="26" customFormat="false" ht="15" hidden="false" customHeight="true" outlineLevel="0" collapsed="false">
      <c r="B26" s="1" t="s">
        <v>45</v>
      </c>
      <c r="E26" s="7" t="n">
        <f aca="false">HoldCo!D29</f>
        <v>10</v>
      </c>
    </row>
    <row r="27" customFormat="false" ht="15" hidden="false" customHeight="true" outlineLevel="0" collapsed="false">
      <c r="B27" s="1" t="s">
        <v>46</v>
      </c>
      <c r="E27" s="7" t="n">
        <f aca="false">HoldCo!D38</f>
        <v>36.871688894769</v>
      </c>
    </row>
    <row r="28" customFormat="false" ht="15" hidden="false" customHeight="true" outlineLevel="0" collapsed="false">
      <c r="B28" s="1" t="s">
        <v>47</v>
      </c>
      <c r="E28" s="7" t="n">
        <f aca="false">HoldCo!D36</f>
        <v>1.99797328986433</v>
      </c>
    </row>
    <row r="29" customFormat="false" ht="15" hidden="false" customHeight="true" outlineLevel="0" collapsed="false">
      <c r="B29" s="1" t="s">
        <v>48</v>
      </c>
      <c r="E29" s="7" t="n">
        <f aca="false">HoldCo!D39</f>
        <v>90.1266594191822</v>
      </c>
    </row>
    <row r="30" customFormat="false" ht="15" hidden="false" customHeight="true" outlineLevel="0" collapsed="false">
      <c r="B30" s="1" t="s">
        <v>49</v>
      </c>
      <c r="E30" s="7" t="n">
        <f aca="false">HoldCo!D40</f>
        <v>13.5189989128773</v>
      </c>
    </row>
    <row r="31" customFormat="false" ht="15" hidden="false" customHeight="true" outlineLevel="0" collapsed="false">
      <c r="B31" s="1" t="s">
        <v>50</v>
      </c>
      <c r="E31" s="7" t="n">
        <f aca="false">HoldCo!D41</f>
        <v>76.6076605063048</v>
      </c>
    </row>
    <row r="32" customFormat="false" ht="15" hidden="false" customHeight="true" outlineLevel="0" collapsed="false">
      <c r="B32" s="1" t="s">
        <v>51</v>
      </c>
      <c r="E32" s="8" t="n">
        <f aca="false">HoldCo!D107</f>
        <v>0.878440387074812</v>
      </c>
    </row>
    <row r="33" customFormat="false" ht="15" hidden="false" customHeight="true" outlineLevel="0" collapsed="false">
      <c r="B33" s="1" t="s">
        <v>52</v>
      </c>
      <c r="E33" s="8" t="n">
        <f aca="false">HoldCo!D108</f>
        <v>0.121559612925188</v>
      </c>
    </row>
    <row r="34" customFormat="false" ht="15" hidden="false" customHeight="true" outlineLevel="0" collapsed="false">
      <c r="B34" s="1" t="s">
        <v>53</v>
      </c>
      <c r="E34" s="8" t="n">
        <f aca="false">HoldCo!D109</f>
        <v>0.0805299644847747</v>
      </c>
    </row>
    <row r="35" customFormat="false" ht="15" hidden="false" customHeight="true" outlineLevel="0" collapsed="false">
      <c r="B35" s="1" t="s">
        <v>54</v>
      </c>
      <c r="E35" s="8" t="n">
        <f aca="false">HoldCo!D110</f>
        <v>0.145377670901501</v>
      </c>
    </row>
    <row r="36" customFormat="false" ht="15" hidden="false" customHeight="true" outlineLevel="0" collapsed="false">
      <c r="B36" s="1" t="s">
        <v>55</v>
      </c>
      <c r="E36" s="10" t="n">
        <f aca="false">HoldCo!D111</f>
        <v>5.06408918579089</v>
      </c>
    </row>
    <row r="37" customFormat="false" ht="15" hidden="false" customHeight="true" outlineLevel="0" collapsed="false">
      <c r="B37" s="1" t="s">
        <v>56</v>
      </c>
      <c r="E37" s="8" t="n">
        <f aca="false">HoldCo!D113</f>
        <v>0.0944674134751762</v>
      </c>
    </row>
    <row r="38" customFormat="false" ht="15" hidden="false" customHeight="true" outlineLevel="0" collapsed="false">
      <c r="B38" s="1" t="s">
        <v>57</v>
      </c>
      <c r="E38" s="10" t="n">
        <f aca="false">HoldCo!D114</f>
        <v>4.97798341831496</v>
      </c>
    </row>
    <row r="39" customFormat="false" ht="15" hidden="false" customHeight="true" outlineLevel="0" collapsed="false">
      <c r="B39" s="1" t="s">
        <v>58</v>
      </c>
      <c r="E39" s="7" t="n">
        <f aca="false">HoldCo!D75</f>
        <v>0</v>
      </c>
    </row>
    <row r="40" customFormat="false" ht="15" hidden="false" customHeight="true" outlineLevel="0" collapsed="false">
      <c r="B40" s="1" t="s">
        <v>59</v>
      </c>
      <c r="E40" s="7" t="n">
        <f aca="false">HoldCo!D59</f>
        <v>0.232306527305933</v>
      </c>
    </row>
    <row r="41" customFormat="false" ht="15" hidden="false" customHeight="true" outlineLevel="0" collapsed="false">
      <c r="B41" s="1" t="s">
        <v>60</v>
      </c>
      <c r="E41" s="7" t="n">
        <f aca="false">MAX(SPV3!E45:AD45)+MAX(SPV4!E45:AD45)</f>
        <v>176.077927182937</v>
      </c>
    </row>
    <row r="42" customFormat="false" ht="15" hidden="false" customHeight="true" outlineLevel="0" collapsed="false">
      <c r="B42" s="1" t="s">
        <v>61</v>
      </c>
      <c r="E42" s="7" t="n">
        <f aca="false">MAX(SPV3!E56:AD56)+MAX(SPV4!E56:AD56)</f>
        <v>13.5211755175385</v>
      </c>
    </row>
    <row r="43" customFormat="false" ht="15" hidden="false" customHeight="true" outlineLevel="0" collapsed="false">
      <c r="B43" s="1" t="s">
        <v>62</v>
      </c>
      <c r="E43" s="7" t="n">
        <f aca="false">SPV3!D73+SPV4!D73</f>
        <v>81.7973322797897</v>
      </c>
    </row>
    <row r="44" customFormat="false" ht="15" hidden="false" customHeight="true" outlineLevel="0" collapsed="false">
      <c r="B44" s="1" t="s">
        <v>63</v>
      </c>
      <c r="E44" s="7" t="n">
        <f aca="false">HoldCo!D66</f>
        <v>100.658381072068</v>
      </c>
    </row>
    <row r="45" customFormat="false" ht="15" hidden="false" customHeight="true" outlineLevel="0" collapsed="false">
      <c r="B45" s="1" t="s">
        <v>64</v>
      </c>
      <c r="E45" s="7" t="n">
        <f aca="false">HoldCo!D116</f>
        <v>129.777476132211</v>
      </c>
    </row>
    <row r="46" customFormat="false" ht="15" hidden="false" customHeight="true" outlineLevel="0" collapsed="false">
      <c r="B46" s="1" t="s">
        <v>65</v>
      </c>
      <c r="E46" s="7" t="n">
        <f aca="false">HoldCo!D120</f>
        <v>118.559981150243</v>
      </c>
    </row>
    <row r="47" customFormat="false" ht="15" hidden="false" customHeight="true" outlineLevel="0" collapsed="false">
      <c r="B47" s="1" t="s">
        <v>66</v>
      </c>
      <c r="E47" s="8" t="n">
        <f aca="false">HoldCo!D121</f>
        <v>0.14808974921077</v>
      </c>
    </row>
    <row r="48" customFormat="false" ht="15" hidden="false" customHeight="true" outlineLevel="0" collapsed="false">
      <c r="B48" s="1" t="s">
        <v>67</v>
      </c>
      <c r="E48" s="10" t="n">
        <f aca="false">HoldCo!D122</f>
        <v>1.82740473739198</v>
      </c>
    </row>
    <row r="49" customFormat="false" ht="15" hidden="false" customHeight="true" outlineLevel="0" collapsed="false">
      <c r="B49" s="1" t="s">
        <v>68</v>
      </c>
      <c r="E49" s="9" t="str">
        <f aca="false">CHOOSE(Inputs!$C$103+1,"Custom inputs","1 · Base","2 · Recommended","3 · Worst realistic")</f>
        <v>1 · Base</v>
      </c>
    </row>
    <row r="50" customFormat="false" ht="15" hidden="false" customHeight="true" outlineLevel="0" collapsed="false">
      <c r="B50" s="1" t="s">
        <v>69</v>
      </c>
      <c r="E50" s="9" t="str">
        <f aca="false">IF(Inputs!$C$106=2,"Insurance surety bond","Bank guarantee with cash margin")</f>
        <v>Bank guarantee with cash margin</v>
      </c>
    </row>
    <row r="51" customFormat="false" ht="15" hidden="false" customHeight="true" outlineLevel="0" collapsed="false">
      <c r="B51" s="1" t="s">
        <v>70</v>
      </c>
      <c r="E51" s="9" t="str">
        <f aca="false">IF(Inputs!$C$104=1,"Non-resident: s.94B cap applies","Resident")</f>
        <v>Resident</v>
      </c>
    </row>
    <row r="52" customFormat="false" ht="15" hidden="false" customHeight="true" outlineLevel="0" collapsed="false">
      <c r="B52" s="1" t="s">
        <v>71</v>
      </c>
      <c r="E52" s="7" t="n">
        <f aca="false">HoldCo!D32</f>
        <v>0</v>
      </c>
    </row>
    <row r="53" customFormat="false" ht="15" hidden="false" customHeight="true" outlineLevel="0" collapsed="false">
      <c r="B53" s="1" t="s">
        <v>72</v>
      </c>
      <c r="E53" s="8" t="n">
        <f aca="false">Inputs!$C$98</f>
        <v>0</v>
      </c>
    </row>
    <row r="54" customFormat="false" ht="15" hidden="false" customHeight="true" outlineLevel="0" collapsed="false">
      <c r="B54" s="1" t="s">
        <v>73</v>
      </c>
      <c r="E54" s="7" t="n">
        <f aca="false">HoldCo!D132</f>
        <v>0</v>
      </c>
    </row>
    <row r="55" customFormat="false" ht="15" hidden="false" customHeight="true" outlineLevel="0" collapsed="false">
      <c r="B55" s="1" t="s">
        <v>74</v>
      </c>
      <c r="E55" s="9" t="str">
        <f aca="false">IF(HoldCo!D32=0,"-",TEXT(HoldCo!D133,"0.0%")&amp;" / "&amp;TEXT(HoldCo!D134,"0.0%"))</f>
        <v>-</v>
      </c>
    </row>
    <row r="56" customFormat="false" ht="15" hidden="false" customHeight="true" outlineLevel="0" collapsed="false">
      <c r="B56" s="1" t="s">
        <v>75</v>
      </c>
      <c r="E56" s="8" t="n">
        <f aca="false">HoldCo!D135</f>
        <v>0</v>
      </c>
    </row>
    <row r="57" customFormat="false" ht="15" hidden="false" customHeight="true" outlineLevel="0" collapsed="false">
      <c r="B57" s="1" t="s">
        <v>76</v>
      </c>
      <c r="E57" s="7" t="n">
        <f aca="false">HoldCo!D136</f>
        <v>0</v>
      </c>
    </row>
    <row r="58" customFormat="false" ht="15" hidden="false" customHeight="true" outlineLevel="0" collapsed="false">
      <c r="B58" s="1" t="s">
        <v>77</v>
      </c>
      <c r="E58" s="8" t="n">
        <f aca="false">HoldCo!D124</f>
        <v>0</v>
      </c>
    </row>
    <row r="59" customFormat="false" ht="15" hidden="false" customHeight="true" outlineLevel="0" collapsed="false">
      <c r="B59" s="1" t="s">
        <v>78</v>
      </c>
      <c r="E59" s="8" t="n">
        <f aca="false">HoldCo!D126</f>
        <v>0</v>
      </c>
    </row>
    <row r="60" customFormat="false" ht="15" hidden="false" customHeight="true" outlineLevel="0" collapsed="false">
      <c r="B60" s="1" t="s">
        <v>79</v>
      </c>
      <c r="E60" s="8" t="n">
        <f aca="false">HoldCo!D129</f>
        <v>0</v>
      </c>
    </row>
    <row r="61" customFormat="false" ht="15" hidden="false" customHeight="true" outlineLevel="0" collapsed="false">
      <c r="B61" s="1" t="s">
        <v>80</v>
      </c>
      <c r="E61" s="7" t="n">
        <f aca="false">HoldCo!D128</f>
        <v>0</v>
      </c>
    </row>
    <row r="62" customFormat="false" ht="15" hidden="false" customHeight="true" outlineLevel="0" collapsed="false">
      <c r="B62" s="1" t="s">
        <v>81</v>
      </c>
      <c r="E62" s="11" t="b">
        <f aca="false">Checks!C28</f>
        <v>1</v>
      </c>
    </row>
    <row r="64" customFormat="false" ht="15" hidden="false" customHeight="true" outlineLevel="0" collapsed="false">
      <c r="B64" s="5" t="s">
        <v>82</v>
      </c>
      <c r="C64" s="5" t="s">
        <v>22</v>
      </c>
      <c r="D64" s="5" t="s">
        <v>23</v>
      </c>
      <c r="E64" s="5" t="s">
        <v>24</v>
      </c>
    </row>
    <row r="65" customFormat="false" ht="15" hidden="false" customHeight="true" outlineLevel="0" collapsed="false">
      <c r="B65" s="1" t="s">
        <v>83</v>
      </c>
      <c r="C65" s="7" t="n">
        <f aca="false">SPV3!D61</f>
        <v>8.2299948407357</v>
      </c>
      <c r="D65" s="7" t="n">
        <f aca="false">SPV4!D61</f>
        <v>16.4254733745137</v>
      </c>
      <c r="E65" s="12" t="n">
        <f aca="false">C65+D65</f>
        <v>24.6554682152494</v>
      </c>
    </row>
    <row r="66" customFormat="false" ht="15" hidden="false" customHeight="true" outlineLevel="0" collapsed="false">
      <c r="B66" s="1" t="s">
        <v>84</v>
      </c>
      <c r="C66" s="7" t="n">
        <f aca="false">SPV3!D63</f>
        <v>24.054970764169</v>
      </c>
      <c r="D66" s="7" t="n">
        <f aca="false">SPV4!D63</f>
        <v>47.9143491222443</v>
      </c>
      <c r="E66" s="12" t="n">
        <f aca="false">C66+D66</f>
        <v>71.9693198864133</v>
      </c>
    </row>
    <row r="67" customFormat="false" ht="15" hidden="false" customHeight="true" outlineLevel="0" collapsed="false">
      <c r="B67" s="1" t="s">
        <v>85</v>
      </c>
      <c r="C67" s="7" t="n">
        <f aca="false">SPV3!D65</f>
        <v>30.5259490513654</v>
      </c>
      <c r="D67" s="7" t="n">
        <f aca="false">SPV4!D65</f>
        <v>61.8648686592085</v>
      </c>
      <c r="E67" s="12" t="n">
        <f aca="false">C67+D67</f>
        <v>92.3908177105738</v>
      </c>
    </row>
    <row r="68" customFormat="false" ht="15" hidden="false" customHeight="true" outlineLevel="0" collapsed="false">
      <c r="B68" s="1" t="s">
        <v>86</v>
      </c>
      <c r="C68" s="7" t="n">
        <f aca="false">SPV3!D69</f>
        <v>104.468995419467</v>
      </c>
      <c r="D68" s="7" t="n">
        <f aca="false">SPV4!D69</f>
        <v>207.205070373859</v>
      </c>
      <c r="E68" s="12" t="n">
        <f aca="false">C68+D68</f>
        <v>311.674065793327</v>
      </c>
    </row>
    <row r="69" customFormat="false" ht="15" hidden="false" customHeight="true" outlineLevel="0" collapsed="false">
      <c r="B69" s="1" t="s">
        <v>87</v>
      </c>
      <c r="C69" s="7" t="n">
        <f aca="false">SPV3!D72</f>
        <v>0</v>
      </c>
      <c r="D69" s="7" t="n">
        <f aca="false">SPV4!D72</f>
        <v>0</v>
      </c>
      <c r="E69" s="12" t="n">
        <f aca="false">C69+D69</f>
        <v>0</v>
      </c>
    </row>
    <row r="70" customFormat="false" ht="15" hidden="false" customHeight="true" outlineLevel="0" collapsed="false">
      <c r="B70" s="1" t="s">
        <v>88</v>
      </c>
      <c r="C70" s="7" t="n">
        <f aca="false">SPV3!D77</f>
        <v>34.512439796027</v>
      </c>
      <c r="D70" s="7" t="n">
        <f aca="false">SPV4!D77</f>
        <v>71.9403606990121</v>
      </c>
      <c r="E70" s="12" t="n">
        <f aca="false">C70+D70</f>
        <v>106.452800495039</v>
      </c>
    </row>
    <row r="71" customFormat="false" ht="15" hidden="false" customHeight="true" outlineLevel="0" collapsed="false">
      <c r="B71" s="1" t="s">
        <v>89</v>
      </c>
      <c r="C71" s="7" t="n">
        <f aca="false">SPV3!D80</f>
        <v>0</v>
      </c>
      <c r="D71" s="7" t="n">
        <f aca="false">SPV4!D80</f>
        <v>0</v>
      </c>
      <c r="E71" s="12" t="n">
        <f aca="false">C71+D71</f>
        <v>0</v>
      </c>
    </row>
    <row r="72" customFormat="false" ht="15" hidden="false" customHeight="true" outlineLevel="0" collapsed="false">
      <c r="B72" s="13" t="s">
        <v>90</v>
      </c>
      <c r="C72" s="14" t="n">
        <f aca="false">SPV3!D83</f>
        <v>169.50738426686</v>
      </c>
      <c r="D72" s="14" t="n">
        <f aca="false">SPV4!D83</f>
        <v>341.01029973208</v>
      </c>
      <c r="E72" s="14" t="n">
        <f aca="false">C72+D72</f>
        <v>510.51768399894</v>
      </c>
    </row>
    <row r="74" customFormat="false" ht="23.25" hidden="false" customHeight="true" outlineLevel="0" collapsed="false">
      <c r="B74" s="15" t="s">
        <v>91</v>
      </c>
      <c r="C74" s="15" t="s">
        <v>92</v>
      </c>
      <c r="D74" s="15" t="s">
        <v>93</v>
      </c>
      <c r="E74" s="15" t="s">
        <v>94</v>
      </c>
      <c r="F74" s="15" t="s">
        <v>95</v>
      </c>
      <c r="G74" s="15" t="s">
        <v>96</v>
      </c>
      <c r="H74" s="15" t="s">
        <v>56</v>
      </c>
      <c r="I74" s="15" t="s">
        <v>97</v>
      </c>
      <c r="J74" s="15" t="s">
        <v>98</v>
      </c>
      <c r="K74" s="15" t="s">
        <v>99</v>
      </c>
      <c r="L74" s="15" t="s">
        <v>100</v>
      </c>
      <c r="M74" s="15" t="s">
        <v>101</v>
      </c>
      <c r="N74" s="15" t="s">
        <v>102</v>
      </c>
      <c r="O74" s="15" t="s">
        <v>103</v>
      </c>
    </row>
    <row r="75" customFormat="false" ht="15" hidden="false" customHeight="true" outlineLevel="0" collapsed="false">
      <c r="B75" s="1" t="s">
        <v>104</v>
      </c>
      <c r="C75" s="16" t="n">
        <v>160.574858524167</v>
      </c>
      <c r="D75" s="17" t="n">
        <v>1.3</v>
      </c>
      <c r="E75" s="16" t="n">
        <v>90.1266594191822</v>
      </c>
      <c r="F75" s="18" t="n">
        <v>0.878440387074812</v>
      </c>
      <c r="G75" s="18" t="n">
        <v>0.145377670901501</v>
      </c>
      <c r="H75" s="18" t="n">
        <v>0.0944674134751762</v>
      </c>
      <c r="I75" s="18" t="n">
        <v>0.141144122230697</v>
      </c>
      <c r="J75" s="16" t="n">
        <v>8.50572826970247</v>
      </c>
      <c r="K75" s="18" t="n">
        <v>0.121559612925188</v>
      </c>
      <c r="L75" s="18" t="n">
        <v>0.137776982206522</v>
      </c>
      <c r="M75" s="16" t="n">
        <v>0.232306527305933</v>
      </c>
      <c r="N75" s="16" t="n">
        <v>36.871688894769</v>
      </c>
      <c r="O75" s="19" t="s">
        <v>105</v>
      </c>
    </row>
    <row r="76" customFormat="false" ht="15" hidden="false" customHeight="true" outlineLevel="0" collapsed="false">
      <c r="B76" s="1" t="s">
        <v>106</v>
      </c>
      <c r="C76" s="16" t="n">
        <v>160.574858524167</v>
      </c>
      <c r="D76" s="17" t="n">
        <v>1.3</v>
      </c>
      <c r="E76" s="16" t="n">
        <v>90.1266594191822</v>
      </c>
      <c r="F76" s="18" t="n">
        <v>0.855273210999928</v>
      </c>
      <c r="G76" s="18" t="n">
        <v>0.127195762129335</v>
      </c>
      <c r="H76" s="18" t="n">
        <v>0.133989854716708</v>
      </c>
      <c r="I76" s="18" t="n">
        <v>0.141144122230697</v>
      </c>
      <c r="J76" s="16" t="n">
        <v>8.50572826970247</v>
      </c>
      <c r="K76" s="18" t="n">
        <v>0.144726789000072</v>
      </c>
      <c r="L76" s="18" t="n">
        <v>0.128212259791055</v>
      </c>
      <c r="M76" s="16" t="n">
        <v>19.6825679126758</v>
      </c>
      <c r="N76" s="16" t="n">
        <v>36.871688894769</v>
      </c>
      <c r="O76" s="19" t="s">
        <v>105</v>
      </c>
    </row>
    <row r="77" customFormat="false" ht="15" hidden="false" customHeight="true" outlineLevel="0" collapsed="false">
      <c r="B77" s="1" t="s">
        <v>107</v>
      </c>
      <c r="C77" s="16" t="n">
        <v>160.574858524167</v>
      </c>
      <c r="D77" s="17" t="n">
        <v>1.3</v>
      </c>
      <c r="E77" s="16" t="n">
        <v>90.4242858704503</v>
      </c>
      <c r="F77" s="18" t="n">
        <v>0.87912100790601</v>
      </c>
      <c r="G77" s="18" t="n">
        <v>0.145048738539076</v>
      </c>
      <c r="H77" s="18" t="n">
        <v>0.0940694354528089</v>
      </c>
      <c r="I77" s="18" t="n">
        <v>0.142666671707849</v>
      </c>
      <c r="J77" s="16" t="n">
        <v>8.44571937467259</v>
      </c>
      <c r="K77" s="18" t="n">
        <v>0.12087899209399</v>
      </c>
      <c r="L77" s="18" t="n">
        <v>0.137470523841711</v>
      </c>
      <c r="M77" s="16" t="n">
        <v>0.332098131037266</v>
      </c>
      <c r="N77" s="16" t="n">
        <v>37.0695237423058</v>
      </c>
      <c r="O77" s="19" t="s">
        <v>105</v>
      </c>
    </row>
    <row r="78" customFormat="false" ht="15" hidden="false" customHeight="true" outlineLevel="0" collapsed="false">
      <c r="B78" s="1" t="s">
        <v>108</v>
      </c>
      <c r="C78" s="16" t="n">
        <v>160.574858524167</v>
      </c>
      <c r="D78" s="17" t="n">
        <v>1.3</v>
      </c>
      <c r="E78" s="16" t="n">
        <v>90.2562007745968</v>
      </c>
      <c r="F78" s="18" t="n">
        <v>0.878735492014367</v>
      </c>
      <c r="G78" s="18" t="n">
        <v>0.145234970619378</v>
      </c>
      <c r="H78" s="18" t="n">
        <v>0.0942948730027095</v>
      </c>
      <c r="I78" s="18" t="n">
        <v>0.141794075519916</v>
      </c>
      <c r="J78" s="16" t="n">
        <v>8.47825232215812</v>
      </c>
      <c r="K78" s="18" t="n">
        <v>0.121264507985633</v>
      </c>
      <c r="L78" s="18" t="n">
        <v>0.137644049097184</v>
      </c>
      <c r="M78" s="16" t="n">
        <v>0.275378026835365</v>
      </c>
      <c r="N78" s="16" t="n">
        <v>36.9581587506542</v>
      </c>
      <c r="O78" s="19" t="s">
        <v>105</v>
      </c>
    </row>
    <row r="79" customFormat="false" ht="15" hidden="false" customHeight="true" outlineLevel="0" collapsed="false">
      <c r="B79" s="1" t="s">
        <v>109</v>
      </c>
      <c r="C79" s="16" t="n">
        <v>160.574858524167</v>
      </c>
      <c r="D79" s="17" t="n">
        <v>1.3</v>
      </c>
      <c r="E79" s="16" t="n">
        <v>90.9442287817511</v>
      </c>
      <c r="F79" s="18" t="n">
        <v>0.880700693842875</v>
      </c>
      <c r="G79" s="18" t="n">
        <v>0.144372434549046</v>
      </c>
      <c r="H79" s="18" t="n">
        <v>0.0932038610695809</v>
      </c>
      <c r="I79" s="18" t="n">
        <v>0.141144122230697</v>
      </c>
      <c r="J79" s="16" t="n">
        <v>8.50572826970247</v>
      </c>
      <c r="K79" s="18" t="n">
        <v>0.119299306157125</v>
      </c>
      <c r="L79" s="18" t="n">
        <v>0.136836488271471</v>
      </c>
      <c r="M79" s="16" t="n">
        <v>0.232306527305933</v>
      </c>
      <c r="N79" s="16" t="n">
        <v>36.871688894769</v>
      </c>
      <c r="O79" s="19" t="s">
        <v>105</v>
      </c>
    </row>
    <row r="80" customFormat="false" ht="15" hidden="false" customHeight="true" outlineLevel="0" collapsed="false">
      <c r="B80" s="1" t="s">
        <v>110</v>
      </c>
      <c r="C80" s="16" t="n">
        <v>160.574858524167</v>
      </c>
      <c r="D80" s="17" t="n">
        <v>1.3</v>
      </c>
      <c r="E80" s="16" t="n">
        <v>91.6440351507079</v>
      </c>
      <c r="F80" s="18" t="n">
        <v>0.882597663429864</v>
      </c>
      <c r="G80" s="18" t="n">
        <v>0.143511532896638</v>
      </c>
      <c r="H80" s="18" t="n">
        <v>0.0921292334181996</v>
      </c>
      <c r="I80" s="18" t="n">
        <v>0.141144122230697</v>
      </c>
      <c r="J80" s="16" t="n">
        <v>8.50572826970247</v>
      </c>
      <c r="K80" s="18" t="n">
        <v>0.117402336570136</v>
      </c>
      <c r="L80" s="18" t="n">
        <v>0.136031617724306</v>
      </c>
      <c r="M80" s="16" t="n">
        <v>0.232306527305933</v>
      </c>
      <c r="N80" s="16" t="n">
        <v>36.871688894769</v>
      </c>
      <c r="O80" s="19" t="s">
        <v>105</v>
      </c>
    </row>
    <row r="81" customFormat="false" ht="15" hidden="false" customHeight="true" outlineLevel="0" collapsed="false">
      <c r="B81" s="1" t="s">
        <v>111</v>
      </c>
      <c r="C81" s="16" t="n">
        <v>160.574858524167</v>
      </c>
      <c r="D81" s="17" t="n">
        <v>1.3</v>
      </c>
      <c r="E81" s="16" t="n">
        <v>90.0483115304043</v>
      </c>
      <c r="F81" s="18" t="n">
        <v>0.898571022688472</v>
      </c>
      <c r="G81" s="18" t="n">
        <v>0.138305165591273</v>
      </c>
      <c r="H81" s="18" t="n">
        <v>0.0843454937076768</v>
      </c>
      <c r="I81" s="18" t="n">
        <v>0.134442613498655</v>
      </c>
      <c r="J81" s="16" t="n">
        <v>10.1013822686418</v>
      </c>
      <c r="K81" s="18" t="n">
        <v>0.101428977311528</v>
      </c>
      <c r="L81" s="18" t="n">
        <v>0.131043765922085</v>
      </c>
      <c r="M81" s="16" t="n">
        <v>0.153958638528066</v>
      </c>
      <c r="N81" s="16" t="n">
        <v>36.871688894769</v>
      </c>
      <c r="O81" s="19" t="s">
        <v>105</v>
      </c>
    </row>
    <row r="82" customFormat="false" ht="15" hidden="false" customHeight="true" outlineLevel="0" collapsed="false">
      <c r="B82" s="1" t="s">
        <v>112</v>
      </c>
      <c r="C82" s="16" t="n">
        <v>160.574858524167</v>
      </c>
      <c r="D82" s="17" t="n">
        <v>1.3</v>
      </c>
      <c r="E82" s="16" t="n">
        <v>91.2129500716652</v>
      </c>
      <c r="F82" s="18" t="n">
        <v>0.907564814926183</v>
      </c>
      <c r="G82" s="18" t="n">
        <v>0.126672941782175</v>
      </c>
      <c r="H82" s="18" t="n">
        <v>0.0733062402665392</v>
      </c>
      <c r="I82" s="18" t="n">
        <v>0.12267715371541</v>
      </c>
      <c r="J82" s="16" t="n">
        <v>14.1464874384811</v>
      </c>
      <c r="K82" s="18" t="n">
        <v>0.0924351850738167</v>
      </c>
      <c r="L82" s="18" t="n">
        <v>0.120226307149097</v>
      </c>
      <c r="M82" s="16" t="n">
        <v>0.0135853378010553</v>
      </c>
      <c r="N82" s="16" t="n">
        <v>36.871688894769</v>
      </c>
      <c r="O82" s="19" t="s">
        <v>105</v>
      </c>
    </row>
    <row r="83" customFormat="false" ht="15" hidden="false" customHeight="true" outlineLevel="0" collapsed="false">
      <c r="B83" s="1" t="s">
        <v>113</v>
      </c>
      <c r="C83" s="16" t="n">
        <v>160.574858524167</v>
      </c>
      <c r="D83" s="17" t="n">
        <v>1.3</v>
      </c>
      <c r="E83" s="16" t="n">
        <v>90.7266594191822</v>
      </c>
      <c r="F83" s="18" t="n">
        <v>0.910103772794494</v>
      </c>
      <c r="G83" s="18" t="n">
        <v>0.128385535947783</v>
      </c>
      <c r="H83" s="18" t="n">
        <v>0.0741412774421328</v>
      </c>
      <c r="I83" s="18" t="n">
        <v>0.125695687458748</v>
      </c>
      <c r="J83" s="16" t="n">
        <v>15.1099118473082</v>
      </c>
      <c r="K83" s="18" t="n">
        <v>0.0898962272055064</v>
      </c>
      <c r="L83" s="18" t="n">
        <v>0.121776730865429</v>
      </c>
      <c r="M83" s="16" t="n">
        <v>0.232306527305933</v>
      </c>
      <c r="N83" s="16" t="n">
        <v>36.871688894769</v>
      </c>
      <c r="O83" s="19" t="s">
        <v>105</v>
      </c>
    </row>
    <row r="84" customFormat="false" ht="15" hidden="false" customHeight="true" outlineLevel="0" collapsed="false">
      <c r="B84" s="1" t="s">
        <v>114</v>
      </c>
      <c r="C84" s="16" t="n">
        <v>160.574858524167</v>
      </c>
      <c r="D84" s="17" t="n">
        <v>1.3</v>
      </c>
      <c r="E84" s="16" t="n">
        <v>90.1266594191822</v>
      </c>
      <c r="F84" s="18" t="n">
        <v>0.461100290397009</v>
      </c>
      <c r="G84" s="18" t="n">
        <v>0.138045359397229</v>
      </c>
      <c r="H84" s="18" t="n">
        <v>0.151141796557211</v>
      </c>
      <c r="I84" s="18" t="n">
        <v>0.14555897201026</v>
      </c>
      <c r="J84" s="16" t="n">
        <v>0</v>
      </c>
      <c r="K84" s="18" t="n">
        <v>0.538899709602991</v>
      </c>
      <c r="L84" s="18" t="n">
        <v>0.141445761948975</v>
      </c>
      <c r="M84" s="16" t="n">
        <v>0.232306527305933</v>
      </c>
      <c r="N84" s="16" t="n">
        <v>36.871688894769</v>
      </c>
      <c r="O84" s="19" t="s">
        <v>105</v>
      </c>
    </row>
    <row r="85" customFormat="false" ht="15" hidden="false" customHeight="true" outlineLevel="0" collapsed="false">
      <c r="B85" s="1" t="s">
        <v>115</v>
      </c>
      <c r="C85" s="16" t="n">
        <v>160.574858524167</v>
      </c>
      <c r="D85" s="17" t="n">
        <v>1.3</v>
      </c>
      <c r="E85" s="16" t="n">
        <v>90.1266594191822</v>
      </c>
      <c r="F85" s="18" t="n">
        <v>0.461100290397009</v>
      </c>
      <c r="G85" s="18" t="n">
        <v>0.135853539704707</v>
      </c>
      <c r="H85" s="18" t="n">
        <v>0.146965372315777</v>
      </c>
      <c r="I85" s="18" t="n">
        <v>0.141886042274205</v>
      </c>
      <c r="J85" s="16" t="n">
        <v>8.50572826970247</v>
      </c>
      <c r="K85" s="18" t="n">
        <v>0.538899709602991</v>
      </c>
      <c r="L85" s="18" t="n">
        <v>0.138625262266325</v>
      </c>
      <c r="M85" s="16" t="n">
        <v>0.232306527305933</v>
      </c>
      <c r="N85" s="16" t="n">
        <v>36.871688894769</v>
      </c>
      <c r="O85" s="19" t="s">
        <v>105</v>
      </c>
    </row>
    <row r="86" customFormat="false" ht="15" hidden="false" customHeight="true" outlineLevel="0" collapsed="false">
      <c r="B86" s="1" t="s">
        <v>116</v>
      </c>
      <c r="C86" s="16" t="n">
        <v>160.574858524167</v>
      </c>
      <c r="D86" s="17" t="n">
        <v>1.3</v>
      </c>
      <c r="E86" s="16" t="n">
        <v>92.435261391527</v>
      </c>
      <c r="F86" s="18" t="n">
        <v>0.854021694992304</v>
      </c>
      <c r="G86" s="18" t="n">
        <v>0.0958690574275894</v>
      </c>
      <c r="H86" s="18" t="n">
        <v>0.118188385215012</v>
      </c>
      <c r="I86" s="18" t="n">
        <v>0.104179336466753</v>
      </c>
      <c r="J86" s="16" t="n">
        <v>32.2849656049047</v>
      </c>
      <c r="K86" s="18" t="n">
        <v>0.145978305007696</v>
      </c>
      <c r="L86" s="18" t="n">
        <v>0.0989020192017514</v>
      </c>
      <c r="M86" s="16" t="n">
        <v>0</v>
      </c>
      <c r="N86" s="16" t="n">
        <v>36.871688894769</v>
      </c>
      <c r="O86" s="19" t="s">
        <v>105</v>
      </c>
    </row>
    <row r="87" customFormat="false" ht="15" hidden="false" customHeight="true" outlineLevel="0" collapsed="false">
      <c r="B87" s="1" t="s">
        <v>117</v>
      </c>
      <c r="C87" s="16" t="n">
        <v>184.580350116638</v>
      </c>
      <c r="D87" s="17" t="n">
        <v>1.13038593541722</v>
      </c>
      <c r="E87" s="16" t="n">
        <v>68.5861091508055</v>
      </c>
      <c r="F87" s="18" t="n">
        <v>0.866005573314089</v>
      </c>
      <c r="G87" s="18" t="n">
        <v>0.15003749159342</v>
      </c>
      <c r="H87" s="18" t="n">
        <v>0.0984224445341764</v>
      </c>
      <c r="I87" s="18" t="n">
        <v>0.146339524974329</v>
      </c>
      <c r="J87" s="16" t="n">
        <v>4.45745369456617</v>
      </c>
      <c r="K87" s="18" t="n">
        <v>0.133994426685911</v>
      </c>
      <c r="L87" s="18" t="n">
        <v>0.14108338185327</v>
      </c>
      <c r="M87" s="16" t="n">
        <v>0.140564822261426</v>
      </c>
      <c r="N87" s="16" t="n">
        <v>28.6278158304799</v>
      </c>
      <c r="O87" s="19" t="s">
        <v>105</v>
      </c>
    </row>
    <row r="88" customFormat="false" ht="15" hidden="false" customHeight="true" outlineLevel="0" collapsed="false">
      <c r="B88" s="1" t="s">
        <v>118</v>
      </c>
      <c r="C88" s="16" t="n">
        <v>171.929225449046</v>
      </c>
      <c r="D88" s="17" t="n">
        <v>1.21302148704485</v>
      </c>
      <c r="E88" s="16" t="n">
        <v>80.0156050788122</v>
      </c>
      <c r="F88" s="18" t="n">
        <v>0.867691110990956</v>
      </c>
      <c r="G88" s="18" t="n">
        <v>0.148294873052206</v>
      </c>
      <c r="H88" s="18" t="n">
        <v>0.0980037389983536</v>
      </c>
      <c r="I88" s="18" t="n">
        <v>0.144010230298814</v>
      </c>
      <c r="J88" s="16" t="n">
        <v>5.9582466058301</v>
      </c>
      <c r="K88" s="18" t="n">
        <v>0.132308889009044</v>
      </c>
      <c r="L88" s="18" t="n">
        <v>0.140099375583675</v>
      </c>
      <c r="M88" s="16" t="n">
        <v>0.188489734741408</v>
      </c>
      <c r="N88" s="16" t="n">
        <v>32.9343293720635</v>
      </c>
      <c r="O88" s="19" t="s">
        <v>105</v>
      </c>
    </row>
    <row r="89" customFormat="false" ht="15" hidden="false" customHeight="true" outlineLevel="0" collapsed="false">
      <c r="B89" s="1" t="s">
        <v>119</v>
      </c>
      <c r="C89" s="16" t="n">
        <v>160.574858524167</v>
      </c>
      <c r="D89" s="17" t="n">
        <v>1.3</v>
      </c>
      <c r="E89" s="16" t="n">
        <v>89.2222086200891</v>
      </c>
      <c r="F89" s="18" t="n">
        <v>0.873946075682814</v>
      </c>
      <c r="G89" s="18" t="n">
        <v>0.146821223224832</v>
      </c>
      <c r="H89" s="18" t="n">
        <v>0.0962096228376185</v>
      </c>
      <c r="I89" s="18" t="n">
        <v>0.141760295594254</v>
      </c>
      <c r="J89" s="16" t="n">
        <v>7.91326272391753</v>
      </c>
      <c r="K89" s="18" t="n">
        <v>0.126053924317186</v>
      </c>
      <c r="L89" s="18" t="n">
        <v>0.138994366757833</v>
      </c>
      <c r="M89" s="16" t="n">
        <v>0.232306527305933</v>
      </c>
      <c r="N89" s="16" t="n">
        <v>36.871688894769</v>
      </c>
      <c r="O89" s="19" t="s">
        <v>105</v>
      </c>
    </row>
    <row r="90" customFormat="false" ht="15" hidden="false" customHeight="true" outlineLevel="0" collapsed="false">
      <c r="B90" s="1" t="s">
        <v>120</v>
      </c>
      <c r="C90" s="16" t="n">
        <v>160.574858524167</v>
      </c>
      <c r="D90" s="17" t="n">
        <v>1.3</v>
      </c>
      <c r="E90" s="16" t="n">
        <v>102.633889068845</v>
      </c>
      <c r="F90" s="18" t="n">
        <v>0.887873274506166</v>
      </c>
      <c r="G90" s="18" t="n">
        <v>0.140829359361171</v>
      </c>
      <c r="H90" s="18" t="n">
        <v>0.0894644971150487</v>
      </c>
      <c r="I90" s="18" t="n">
        <v>0.136002201272779</v>
      </c>
      <c r="J90" s="16" t="n">
        <v>8.23344583812222</v>
      </c>
      <c r="K90" s="18" t="n">
        <v>0.112126725493834</v>
      </c>
      <c r="L90" s="18" t="n">
        <v>0.133780727508759</v>
      </c>
      <c r="M90" s="16" t="n">
        <v>0.285592076894413</v>
      </c>
      <c r="N90" s="16" t="n">
        <v>41.6599071511793</v>
      </c>
      <c r="O90" s="19" t="s">
        <v>105</v>
      </c>
    </row>
    <row r="91" customFormat="false" ht="15" hidden="false" customHeight="true" outlineLevel="0" collapsed="false">
      <c r="B91" s="1" t="s">
        <v>121</v>
      </c>
      <c r="C91" s="16" t="n">
        <v>160.574858524167</v>
      </c>
      <c r="D91" s="17" t="n">
        <v>1.3</v>
      </c>
      <c r="E91" s="16" t="n">
        <v>89.8869026243984</v>
      </c>
      <c r="F91" s="18" t="n">
        <v>0.87781155749839</v>
      </c>
      <c r="G91" s="18" t="n">
        <v>0.145661566459179</v>
      </c>
      <c r="H91" s="18" t="n">
        <v>0.0948212066974368</v>
      </c>
      <c r="I91" s="18" t="n">
        <v>0.141144122230697</v>
      </c>
      <c r="J91" s="16" t="n">
        <v>8.50572826970247</v>
      </c>
      <c r="K91" s="18" t="n">
        <v>0.122188442501611</v>
      </c>
      <c r="L91" s="18" t="n">
        <v>0.138042266828332</v>
      </c>
      <c r="M91" s="16" t="n">
        <v>0.232306527305933</v>
      </c>
      <c r="N91" s="16" t="n">
        <v>36.6319320999853</v>
      </c>
      <c r="O91" s="19" t="s">
        <v>105</v>
      </c>
    </row>
    <row r="92" customFormat="false" ht="15" hidden="false" customHeight="true" outlineLevel="0" collapsed="false">
      <c r="B92" s="1" t="s">
        <v>122</v>
      </c>
      <c r="C92" s="16" t="n">
        <v>160.574858524167</v>
      </c>
      <c r="D92" s="17" t="n">
        <v>1.3</v>
      </c>
      <c r="E92" s="16" t="n">
        <v>87.8963796020119</v>
      </c>
      <c r="F92" s="18" t="n">
        <v>0.882791783115715</v>
      </c>
      <c r="G92" s="18" t="n">
        <v>0.142049031001534</v>
      </c>
      <c r="H92" s="18" t="n">
        <v>0.0919538069304035</v>
      </c>
      <c r="I92" s="18" t="n">
        <v>0.141144122230697</v>
      </c>
      <c r="J92" s="16" t="n">
        <v>8.50572826970247</v>
      </c>
      <c r="K92" s="18" t="n">
        <v>0.117208216884285</v>
      </c>
      <c r="L92" s="18" t="n">
        <v>0.135083265487948</v>
      </c>
      <c r="M92" s="16" t="n">
        <v>0</v>
      </c>
      <c r="N92" s="16" t="n">
        <v>0</v>
      </c>
      <c r="O92" s="19" t="s">
        <v>105</v>
      </c>
    </row>
    <row r="93" customFormat="false" ht="15" hidden="false" customHeight="true" outlineLevel="0" collapsed="false">
      <c r="B93" s="1" t="s">
        <v>123</v>
      </c>
      <c r="C93" s="16" t="n">
        <v>160.574858524167</v>
      </c>
      <c r="D93" s="17" t="n">
        <v>1.3</v>
      </c>
      <c r="E93" s="16" t="n">
        <v>77.4867375441821</v>
      </c>
      <c r="F93" s="18" t="n">
        <v>0.845653815504954</v>
      </c>
      <c r="G93" s="18" t="n">
        <v>0.157755962282788</v>
      </c>
      <c r="H93" s="18" t="n">
        <v>0.126978317730614</v>
      </c>
      <c r="I93" s="18" t="n">
        <v>0.15604196656886</v>
      </c>
      <c r="J93" s="16" t="n">
        <v>8.23014951941198</v>
      </c>
      <c r="K93" s="18" t="n">
        <v>0.154346184495046</v>
      </c>
      <c r="L93" s="18" t="n">
        <v>0.151802549999717</v>
      </c>
      <c r="M93" s="16" t="n">
        <v>1.12118587976093</v>
      </c>
      <c r="N93" s="16" t="n">
        <v>24.231767019769</v>
      </c>
      <c r="O93" s="19" t="s">
        <v>105</v>
      </c>
    </row>
    <row r="94" customFormat="false" ht="15" hidden="false" customHeight="true" outlineLevel="0" collapsed="false">
      <c r="B94" s="1" t="s">
        <v>124</v>
      </c>
      <c r="C94" s="16" t="n">
        <v>160.574858524167</v>
      </c>
      <c r="D94" s="17" t="n">
        <v>1.3</v>
      </c>
      <c r="E94" s="16" t="n">
        <v>90.1266594191822</v>
      </c>
      <c r="F94" s="18" t="n">
        <v>0.919470035515225</v>
      </c>
      <c r="G94" s="18" t="n">
        <v>0.148016387299954</v>
      </c>
      <c r="H94" s="18" t="n">
        <v>0.0685460036078026</v>
      </c>
      <c r="I94" s="18" t="n">
        <v>0.141144122230697</v>
      </c>
      <c r="J94" s="16" t="n">
        <v>8.50572826970247</v>
      </c>
      <c r="K94" s="18" t="n">
        <v>0.0805299644847747</v>
      </c>
      <c r="L94" s="18" t="n">
        <v>0.137776982206522</v>
      </c>
      <c r="M94" s="16" t="n">
        <v>0.232306527305933</v>
      </c>
      <c r="N94" s="16" t="n">
        <v>36.871688894769</v>
      </c>
      <c r="O94" s="19" t="s">
        <v>105</v>
      </c>
    </row>
    <row r="95" customFormat="false" ht="15" hidden="false" customHeight="true" outlineLevel="0" collapsed="false">
      <c r="B95" s="1" t="s">
        <v>125</v>
      </c>
      <c r="C95" s="16" t="n">
        <v>156.723004073965</v>
      </c>
      <c r="D95" s="17" t="n">
        <v>1.3</v>
      </c>
      <c r="E95" s="16" t="n">
        <v>93.8533142952199</v>
      </c>
      <c r="F95" s="18" t="n">
        <v>0.88253845392785</v>
      </c>
      <c r="G95" s="18" t="n">
        <v>0.13623480767546</v>
      </c>
      <c r="H95" s="18" t="n">
        <v>0.0838672951472562</v>
      </c>
      <c r="I95" s="18" t="n">
        <v>0.132141129745878</v>
      </c>
      <c r="J95" s="16" t="n">
        <v>6.41906517630022</v>
      </c>
      <c r="K95" s="18" t="n">
        <v>0.11746154607215</v>
      </c>
      <c r="L95" s="18" t="n">
        <v>0.12871949070948</v>
      </c>
      <c r="M95" s="16" t="n">
        <v>0.247084344575199</v>
      </c>
      <c r="N95" s="16" t="n">
        <v>38.1996176669233</v>
      </c>
      <c r="O95" s="19" t="s">
        <v>105</v>
      </c>
    </row>
    <row r="96" customFormat="false" ht="15" hidden="false" customHeight="true" outlineLevel="0" collapsed="false">
      <c r="B96" s="1" t="s">
        <v>126</v>
      </c>
      <c r="C96" s="16" t="n">
        <v>160.574858524167</v>
      </c>
      <c r="D96" s="17" t="n">
        <v>1.3</v>
      </c>
      <c r="E96" s="16" t="n">
        <v>112.245787218602</v>
      </c>
      <c r="F96" s="18" t="n">
        <v>0.910241263839345</v>
      </c>
      <c r="G96" s="18" t="n">
        <v>0.127710338555251</v>
      </c>
      <c r="H96" s="18" t="n">
        <v>0.0744417993731127</v>
      </c>
      <c r="I96" s="18" t="n">
        <v>0.124602485414865</v>
      </c>
      <c r="J96" s="16" t="n">
        <v>3.25960151664842</v>
      </c>
      <c r="K96" s="18" t="n">
        <v>0.0897587361606548</v>
      </c>
      <c r="L96" s="18" t="n">
        <v>0.121547114998383</v>
      </c>
      <c r="M96" s="16" t="n">
        <v>0.317832768319459</v>
      </c>
      <c r="N96" s="16" t="n">
        <v>44.5570428375506</v>
      </c>
      <c r="O96" s="19" t="s">
        <v>105</v>
      </c>
    </row>
    <row r="97" customFormat="false" ht="15" hidden="false" customHeight="true" outlineLevel="0" collapsed="false">
      <c r="B97" s="1" t="s">
        <v>127</v>
      </c>
      <c r="C97" s="16" t="n">
        <v>150.929067080435</v>
      </c>
      <c r="D97" s="17" t="n">
        <v>1.3</v>
      </c>
      <c r="E97" s="16" t="n">
        <v>99.781000965742</v>
      </c>
      <c r="F97" s="18" t="n">
        <v>0.89492763429701</v>
      </c>
      <c r="G97" s="18" t="n">
        <v>0.13241139492101</v>
      </c>
      <c r="H97" s="18" t="n">
        <v>0.0799142530146984</v>
      </c>
      <c r="I97" s="18" t="n">
        <v>0.129015819031964</v>
      </c>
      <c r="J97" s="16" t="n">
        <v>3.68301054751288</v>
      </c>
      <c r="K97" s="18" t="n">
        <v>0.105072365702991</v>
      </c>
      <c r="L97" s="18" t="n">
        <v>0.125467666057288</v>
      </c>
      <c r="M97" s="16" t="n">
        <v>0.269313051102659</v>
      </c>
      <c r="N97" s="16" t="n">
        <v>40.197080379294</v>
      </c>
      <c r="O97" s="19" t="s">
        <v>105</v>
      </c>
    </row>
    <row r="98" customFormat="false" ht="15" hidden="false" customHeight="true" outlineLevel="0" collapsed="false">
      <c r="B98" s="1" t="s">
        <v>128</v>
      </c>
      <c r="C98" s="16" t="n">
        <v>154.032811326324</v>
      </c>
      <c r="D98" s="17" t="n">
        <v>1.3</v>
      </c>
      <c r="E98" s="16" t="n">
        <v>96.9058424739438</v>
      </c>
      <c r="F98" s="18" t="n">
        <v>0.885939865026875</v>
      </c>
      <c r="G98" s="18" t="n">
        <v>0.140377997682154</v>
      </c>
      <c r="H98" s="18" t="n">
        <v>0.0892263785178072</v>
      </c>
      <c r="I98" s="18" t="n">
        <v>0.136188833042473</v>
      </c>
      <c r="J98" s="16" t="n">
        <v>5.98632600503534</v>
      </c>
      <c r="K98" s="18" t="n">
        <v>0.114060134973125</v>
      </c>
      <c r="L98" s="18" t="n">
        <v>0.133220192806673</v>
      </c>
      <c r="M98" s="16" t="n">
        <v>0.258246386759485</v>
      </c>
      <c r="N98" s="16" t="n">
        <v>39.20263433051</v>
      </c>
      <c r="O98" s="19" t="s">
        <v>105</v>
      </c>
    </row>
    <row r="99" customFormat="false" ht="15" hidden="false" customHeight="true" outlineLevel="0" collapsed="false">
      <c r="B99" s="1" t="s">
        <v>129</v>
      </c>
      <c r="C99" s="16" t="n">
        <v>160.574858524167</v>
      </c>
      <c r="D99" s="17" t="n">
        <v>1.3</v>
      </c>
      <c r="E99" s="16" t="n">
        <v>76.5822867450891</v>
      </c>
      <c r="F99" s="18" t="n">
        <v>0.842305422846132</v>
      </c>
      <c r="G99" s="18" t="n">
        <v>0.158083364295617</v>
      </c>
      <c r="H99" s="18" t="n">
        <v>0.127769825367246</v>
      </c>
      <c r="I99" s="18" t="n">
        <v>0.157005794341928</v>
      </c>
      <c r="J99" s="16" t="n">
        <v>7.42642805358579</v>
      </c>
      <c r="K99" s="18" t="n">
        <v>0.157694577153868</v>
      </c>
      <c r="L99" s="18" t="n">
        <v>0.152098449672992</v>
      </c>
      <c r="M99" s="16" t="n">
        <v>0.391614807642225</v>
      </c>
      <c r="N99" s="16" t="n">
        <v>24.231767019769</v>
      </c>
      <c r="O99" s="19" t="s">
        <v>105</v>
      </c>
    </row>
    <row r="100" customFormat="false" ht="15" hidden="false" customHeight="true" outlineLevel="0" collapsed="false">
      <c r="B100" s="1" t="s">
        <v>130</v>
      </c>
      <c r="C100" s="16" t="n">
        <v>160.574858524167</v>
      </c>
      <c r="D100" s="17" t="n">
        <v>1.3</v>
      </c>
      <c r="E100" s="16" t="n">
        <v>65.9138263430497</v>
      </c>
      <c r="F100" s="18" t="n">
        <v>0.821341820100822</v>
      </c>
      <c r="G100" s="18" t="n">
        <v>0.167751508823512</v>
      </c>
      <c r="H100" s="18" t="n">
        <v>0.14572209018184</v>
      </c>
      <c r="I100" s="18" t="n">
        <v>0.168939329642049</v>
      </c>
      <c r="J100" s="16" t="n">
        <v>10.1171247960297</v>
      </c>
      <c r="K100" s="18" t="n">
        <v>0.178658179899178</v>
      </c>
      <c r="L100" s="18" t="n">
        <v>0.162640742122567</v>
      </c>
      <c r="M100" s="16" t="n">
        <v>0.552445213800957</v>
      </c>
      <c r="N100" s="16" t="n">
        <v>20.3890900483782</v>
      </c>
      <c r="O100" s="19" t="s">
        <v>105</v>
      </c>
    </row>
    <row r="101" customFormat="false" ht="15" hidden="false" customHeight="true" outlineLevel="0" collapsed="false">
      <c r="B101" s="1" t="s">
        <v>131</v>
      </c>
      <c r="C101" s="16" t="n">
        <v>160.574858524167</v>
      </c>
      <c r="D101" s="17" t="n">
        <v>1.3</v>
      </c>
      <c r="E101" s="16" t="n">
        <v>65.9138263430497</v>
      </c>
      <c r="F101" s="18" t="n">
        <v>0.784103629308946</v>
      </c>
      <c r="G101" s="18" t="n">
        <v>0.165260159123737</v>
      </c>
      <c r="H101" s="18" t="n">
        <v>0.154417556844132</v>
      </c>
      <c r="I101" s="18" t="n">
        <v>0.168939329642049</v>
      </c>
      <c r="J101" s="16" t="n">
        <v>10.1171247960297</v>
      </c>
      <c r="K101" s="18" t="n">
        <v>0.215896370691054</v>
      </c>
      <c r="L101" s="18" t="n">
        <v>0.162640742122567</v>
      </c>
      <c r="M101" s="16" t="n">
        <v>0.552445213800957</v>
      </c>
      <c r="N101" s="16" t="n">
        <v>20.3890900483782</v>
      </c>
      <c r="O101" s="19" t="s">
        <v>105</v>
      </c>
    </row>
    <row r="102" customFormat="false" ht="15" hidden="false" customHeight="true" outlineLevel="0" collapsed="false">
      <c r="B102" s="1" t="s">
        <v>132</v>
      </c>
      <c r="C102" s="16" t="n">
        <v>156.136382028826</v>
      </c>
      <c r="D102" s="17" t="n">
        <v>1.3</v>
      </c>
      <c r="E102" s="16" t="n">
        <v>94.2704069839271</v>
      </c>
      <c r="F102" s="18" t="n">
        <v>0.882701134802016</v>
      </c>
      <c r="G102" s="18" t="n">
        <v>0.143199539372442</v>
      </c>
      <c r="H102" s="18" t="n">
        <v>0.092111813619428</v>
      </c>
      <c r="I102" s="18" t="n">
        <v>0.134991463432052</v>
      </c>
      <c r="J102" s="16" t="n">
        <v>7.64109184133455</v>
      </c>
      <c r="K102" s="18" t="n">
        <v>0.117298865197984</v>
      </c>
      <c r="L102" s="18" t="n">
        <v>0.135848743212262</v>
      </c>
      <c r="M102" s="16" t="n">
        <v>0.284363629431106</v>
      </c>
      <c r="N102" s="16" t="n">
        <v>41.5495193515549</v>
      </c>
      <c r="O102" s="19" t="s">
        <v>105</v>
      </c>
    </row>
    <row r="103" customFormat="false" ht="15" hidden="false" customHeight="true" outlineLevel="0" collapsed="false">
      <c r="B103" s="1" t="s">
        <v>133</v>
      </c>
      <c r="C103" s="16" t="n">
        <v>156.136382028826</v>
      </c>
      <c r="D103" s="17" t="n">
        <v>1.3</v>
      </c>
      <c r="E103" s="16" t="n">
        <v>106.696203698238</v>
      </c>
      <c r="F103" s="18" t="n">
        <v>0.891424356874206</v>
      </c>
      <c r="G103" s="18" t="n">
        <v>0.138902918127803</v>
      </c>
      <c r="H103" s="18" t="n">
        <v>0.0873502687832536</v>
      </c>
      <c r="I103" s="18" t="n">
        <v>0.130658202671282</v>
      </c>
      <c r="J103" s="16" t="n">
        <v>7.37516157802537</v>
      </c>
      <c r="K103" s="18" t="n">
        <v>0.108575643125794</v>
      </c>
      <c r="L103" s="18" t="n">
        <v>0.132059920645615</v>
      </c>
      <c r="M103" s="16" t="n">
        <v>0.335306019827133</v>
      </c>
      <c r="N103" s="16" t="n">
        <v>46.1271822564745</v>
      </c>
      <c r="O103" s="19" t="s">
        <v>105</v>
      </c>
    </row>
    <row r="104" customFormat="false" ht="15" hidden="false" customHeight="true" outlineLevel="0" collapsed="false">
      <c r="B104" s="1" t="s">
        <v>134</v>
      </c>
      <c r="C104" s="16" t="n">
        <v>146.9721142852</v>
      </c>
      <c r="D104" s="17" t="n">
        <v>1.35979513184417</v>
      </c>
      <c r="E104" s="16" t="n">
        <v>103.157676446604</v>
      </c>
      <c r="F104" s="18" t="n">
        <v>0.891110493032051</v>
      </c>
      <c r="G104" s="18" t="n">
        <v>0.139129116431643</v>
      </c>
      <c r="H104" s="18" t="n">
        <v>0.0875430895291947</v>
      </c>
      <c r="I104" s="18" t="n">
        <v>0.134991463432052</v>
      </c>
      <c r="J104" s="16" t="n">
        <v>7.64109184133455</v>
      </c>
      <c r="K104" s="18" t="n">
        <v>0.108889506967949</v>
      </c>
      <c r="L104" s="18" t="n">
        <v>0.132243079839109</v>
      </c>
      <c r="M104" s="16" t="n">
        <v>0.284363629431106</v>
      </c>
      <c r="N104" s="16" t="n">
        <v>41.5495193515549</v>
      </c>
      <c r="O104" s="19" t="s">
        <v>105</v>
      </c>
    </row>
    <row r="105" customFormat="false" ht="15" hidden="false" customHeight="true" outlineLevel="0" collapsed="false">
      <c r="B105" s="1" t="s">
        <v>135</v>
      </c>
      <c r="C105" s="16" t="n">
        <v>156.136382028826</v>
      </c>
      <c r="D105" s="17" t="n">
        <v>1.3</v>
      </c>
      <c r="E105" s="16" t="n">
        <v>56.9808350211627</v>
      </c>
      <c r="F105" s="18" t="n">
        <v>0.486593067697146</v>
      </c>
      <c r="G105" s="18" t="n">
        <v>0.137820796962456</v>
      </c>
      <c r="H105" s="18" t="n">
        <v>0.0852857917998094</v>
      </c>
      <c r="I105" s="18" t="n">
        <v>0.134991463432052</v>
      </c>
      <c r="J105" s="16" t="n">
        <v>7.64109184133455</v>
      </c>
      <c r="K105" s="18" t="n">
        <v>0.102573011794083</v>
      </c>
      <c r="L105" s="18" t="n">
        <v>0.133271141484262</v>
      </c>
      <c r="M105" s="16" t="n">
        <v>0</v>
      </c>
      <c r="N105" s="16" t="n">
        <v>4.54431101822155</v>
      </c>
      <c r="O105" s="19" t="s">
        <v>105</v>
      </c>
    </row>
    <row r="106" customFormat="false" ht="15" hidden="false" customHeight="true" outlineLevel="0" collapsed="false">
      <c r="B106" s="1" t="s">
        <v>136</v>
      </c>
      <c r="C106" s="16" t="n">
        <v>156.136382028826</v>
      </c>
      <c r="D106" s="17" t="n">
        <v>1.3</v>
      </c>
      <c r="E106" s="16" t="n">
        <v>56.9808350211627</v>
      </c>
      <c r="F106" s="18" t="n">
        <v>0.486593067697146</v>
      </c>
      <c r="G106" s="18" t="n">
        <v>0.135064013588704</v>
      </c>
      <c r="H106" s="18" t="n">
        <v>0.0852857917998094</v>
      </c>
      <c r="I106" s="18" t="n">
        <v>0.134991463432052</v>
      </c>
      <c r="J106" s="16" t="n">
        <v>7.64109184133455</v>
      </c>
      <c r="K106" s="18" t="n">
        <v>0.102573011794083</v>
      </c>
      <c r="L106" s="18" t="n">
        <v>0.133271141484262</v>
      </c>
      <c r="M106" s="16" t="n">
        <v>0</v>
      </c>
      <c r="N106" s="16" t="n">
        <v>4.54431101822155</v>
      </c>
      <c r="O106" s="19" t="s">
        <v>105</v>
      </c>
    </row>
    <row r="107" customFormat="false" ht="15" hidden="false" customHeight="true" outlineLevel="0" collapsed="false">
      <c r="B107" s="1" t="s">
        <v>137</v>
      </c>
      <c r="C107" s="16" t="n">
        <v>156.136382028826</v>
      </c>
      <c r="D107" s="17" t="n">
        <v>1.3</v>
      </c>
      <c r="E107" s="16" t="n">
        <v>56.9808350211627</v>
      </c>
      <c r="F107" s="18" t="n">
        <v>0.486593067697146</v>
      </c>
      <c r="G107" s="18" t="n">
        <v>0.133538889518994</v>
      </c>
      <c r="H107" s="18" t="n">
        <v>0.0852857917998094</v>
      </c>
      <c r="I107" s="18" t="n">
        <v>0.134991463432052</v>
      </c>
      <c r="J107" s="16" t="n">
        <v>7.64109184133455</v>
      </c>
      <c r="K107" s="18" t="n">
        <v>0.102573011794083</v>
      </c>
      <c r="L107" s="18" t="n">
        <v>0.133271141484262</v>
      </c>
      <c r="M107" s="16" t="n">
        <v>0</v>
      </c>
      <c r="N107" s="16" t="n">
        <v>4.54431101822155</v>
      </c>
      <c r="O107" s="19" t="s">
        <v>105</v>
      </c>
    </row>
    <row r="108" customFormat="false" ht="15" hidden="false" customHeight="true" outlineLevel="0" collapsed="false">
      <c r="B108" s="1" t="s">
        <v>138</v>
      </c>
      <c r="C108" s="16" t="n">
        <v>156.136382028826</v>
      </c>
      <c r="D108" s="17" t="n">
        <v>1.3</v>
      </c>
      <c r="E108" s="16" t="n">
        <v>56.9808350211627</v>
      </c>
      <c r="F108" s="18" t="n">
        <v>0.487298818068476</v>
      </c>
      <c r="G108" s="18" t="n">
        <v>0.134057748948246</v>
      </c>
      <c r="H108" s="18" t="n">
        <v>0.0813069056239771</v>
      </c>
      <c r="I108" s="18" t="n">
        <v>0.134991463432052</v>
      </c>
      <c r="J108" s="16" t="n">
        <v>7.64109184133455</v>
      </c>
      <c r="K108" s="18" t="n">
        <v>0.0997280736520096</v>
      </c>
      <c r="L108" s="18" t="n">
        <v>0.133351393520009</v>
      </c>
      <c r="M108" s="16" t="n">
        <v>0</v>
      </c>
      <c r="N108" s="16" t="n">
        <v>4.54431101822155</v>
      </c>
      <c r="O108" s="19" t="s">
        <v>139</v>
      </c>
    </row>
    <row r="109" customFormat="false" ht="23.25" hidden="false" customHeight="true" outlineLevel="0" collapsed="false">
      <c r="B109" s="1" t="s">
        <v>140</v>
      </c>
      <c r="C109" s="16" t="n">
        <v>160.574858524167</v>
      </c>
      <c r="D109" s="17" t="n">
        <v>1.3</v>
      </c>
      <c r="E109" s="16" t="n">
        <v>87.4292961379321</v>
      </c>
      <c r="F109" s="18" t="n">
        <v>0.877912578143814</v>
      </c>
      <c r="G109" s="18" t="n">
        <v>0.145692732749208</v>
      </c>
      <c r="H109" s="18" t="n">
        <v>0.0955325242729504</v>
      </c>
      <c r="I109" s="18" t="n">
        <v>0.140764329035805</v>
      </c>
      <c r="J109" s="16" t="n">
        <v>8.50572826970247</v>
      </c>
      <c r="K109" s="18" t="n">
        <v>0.122087421856186</v>
      </c>
      <c r="L109" s="18" t="n">
        <v>0.138271884700269</v>
      </c>
      <c r="M109" s="16" t="n">
        <v>0.232306527305933</v>
      </c>
      <c r="N109" s="16" t="n">
        <v>32.768075613519</v>
      </c>
      <c r="O109" s="19" t="s">
        <v>105</v>
      </c>
    </row>
    <row r="110" customFormat="false" ht="15" hidden="false" customHeight="true" outlineLevel="0" collapsed="false">
      <c r="B110" s="1" t="s">
        <v>141</v>
      </c>
      <c r="C110" s="16" t="n">
        <v>160.574858524167</v>
      </c>
      <c r="D110" s="17" t="n">
        <v>1.3</v>
      </c>
      <c r="E110" s="16" t="n">
        <v>90.1266594191822</v>
      </c>
      <c r="F110" s="18" t="n">
        <v>0.89694808093919</v>
      </c>
      <c r="G110" s="18" t="n">
        <v>0.135728152919056</v>
      </c>
      <c r="H110" s="18" t="n">
        <v>0.0824927929881625</v>
      </c>
      <c r="I110" s="18" t="n">
        <v>0.141144122230697</v>
      </c>
      <c r="J110" s="16" t="n">
        <v>8.50572826970247</v>
      </c>
      <c r="K110" s="18" t="n">
        <v>0.10305191906081</v>
      </c>
      <c r="L110" s="18" t="n">
        <v>0.128468034825786</v>
      </c>
      <c r="M110" s="16" t="n">
        <v>17.6201389705853</v>
      </c>
      <c r="N110" s="16" t="n">
        <v>36.871688894769</v>
      </c>
      <c r="O110" s="19" t="s">
        <v>105</v>
      </c>
    </row>
    <row r="111" customFormat="false" ht="15" hidden="false" customHeight="true" outlineLevel="0" collapsed="false">
      <c r="B111" s="3" t="s">
        <v>142</v>
      </c>
      <c r="C111" s="20"/>
      <c r="D111" s="20"/>
      <c r="E111" s="20"/>
      <c r="F111" s="20"/>
      <c r="G111" s="20"/>
      <c r="H111" s="20"/>
      <c r="I111" s="20"/>
      <c r="J111" s="20"/>
      <c r="K111" s="20"/>
      <c r="L111" s="20"/>
      <c r="M111" s="20"/>
      <c r="N111" s="20"/>
      <c r="O111" s="20"/>
    </row>
    <row r="112" customFormat="false" ht="15" hidden="false" customHeight="true" outlineLevel="0" collapsed="false">
      <c r="B112" s="20"/>
      <c r="C112" s="20"/>
      <c r="D112" s="20"/>
      <c r="E112" s="20"/>
      <c r="F112" s="20"/>
      <c r="G112" s="20"/>
      <c r="H112" s="20"/>
      <c r="I112" s="20"/>
      <c r="J112" s="20"/>
      <c r="K112" s="20"/>
      <c r="L112" s="20"/>
      <c r="M112" s="20"/>
      <c r="N112" s="20"/>
      <c r="O112" s="20"/>
    </row>
    <row r="113" customFormat="false" ht="15" hidden="false" customHeight="true" outlineLevel="0" collapsed="false">
      <c r="B113" s="15" t="s">
        <v>143</v>
      </c>
      <c r="C113" s="15" t="s">
        <v>144</v>
      </c>
      <c r="D113" s="15" t="s">
        <v>145</v>
      </c>
      <c r="E113" s="15" t="s">
        <v>146</v>
      </c>
      <c r="F113" s="15" t="s">
        <v>147</v>
      </c>
      <c r="G113" s="15" t="s">
        <v>148</v>
      </c>
      <c r="H113" s="15" t="s">
        <v>149</v>
      </c>
      <c r="I113" s="15" t="s">
        <v>56</v>
      </c>
      <c r="J113" s="15" t="s">
        <v>150</v>
      </c>
      <c r="K113" s="20"/>
      <c r="L113" s="20"/>
      <c r="M113" s="20"/>
      <c r="N113" s="20"/>
      <c r="O113" s="20"/>
    </row>
    <row r="114" customFormat="false" ht="15" hidden="false" customHeight="true" outlineLevel="0" collapsed="false">
      <c r="B114" s="1" t="s">
        <v>151</v>
      </c>
      <c r="C114" s="18" t="n">
        <v>0.143698905251592</v>
      </c>
      <c r="D114" s="18" t="n">
        <v>0.133922273295676</v>
      </c>
      <c r="E114" s="18" t="n">
        <v>0.787479692026502</v>
      </c>
      <c r="F114" s="18" t="n">
        <v>0.451039610723151</v>
      </c>
      <c r="G114" s="18" t="n">
        <v>0.110914029097173</v>
      </c>
      <c r="H114" s="16" t="n">
        <v>0</v>
      </c>
      <c r="I114" s="18" t="n">
        <v>0.0852857917998094</v>
      </c>
      <c r="J114" s="19" t="s">
        <v>105</v>
      </c>
      <c r="K114" s="20"/>
      <c r="L114" s="20"/>
      <c r="M114" s="20"/>
      <c r="N114" s="20"/>
      <c r="O114" s="20"/>
    </row>
    <row r="115" customFormat="false" ht="15" hidden="false" customHeight="true" outlineLevel="0" collapsed="false">
      <c r="B115" s="1" t="s">
        <v>152</v>
      </c>
      <c r="C115" s="18" t="n">
        <v>0.15893345213884</v>
      </c>
      <c r="D115" s="18" t="n">
        <v>0.185934437690825</v>
      </c>
      <c r="E115" s="18" t="n">
        <v>0.787479692026502</v>
      </c>
      <c r="F115" s="18" t="n">
        <v>0.451039610723151</v>
      </c>
      <c r="G115" s="18" t="n">
        <v>0.116999092294271</v>
      </c>
      <c r="H115" s="16" t="n">
        <v>22.8375</v>
      </c>
      <c r="I115" s="18" t="n">
        <v>0.0852857917998094</v>
      </c>
      <c r="J115" s="19" t="s">
        <v>105</v>
      </c>
      <c r="K115" s="20"/>
      <c r="L115" s="20"/>
      <c r="M115" s="20"/>
      <c r="N115" s="20"/>
      <c r="O115" s="20"/>
    </row>
    <row r="116" customFormat="false" ht="15" hidden="false" customHeight="true" outlineLevel="0" collapsed="false">
      <c r="B116" s="1" t="s">
        <v>153</v>
      </c>
      <c r="C116" s="18" t="n">
        <v>0.305</v>
      </c>
      <c r="D116" s="18" t="n">
        <v>0.305</v>
      </c>
      <c r="E116" s="18" t="n">
        <v>0.787479692026502</v>
      </c>
      <c r="F116" s="18" t="n">
        <v>0.451039610723151</v>
      </c>
      <c r="G116" s="18" t="n">
        <v>0.186049999999987</v>
      </c>
      <c r="H116" s="16" t="n">
        <v>45.675</v>
      </c>
      <c r="I116" s="18" t="n">
        <v>0.0852857917998094</v>
      </c>
      <c r="J116" s="19" t="s">
        <v>105</v>
      </c>
      <c r="K116" s="20"/>
      <c r="L116" s="20"/>
      <c r="M116" s="20"/>
      <c r="N116" s="20"/>
      <c r="O116" s="20"/>
    </row>
    <row r="117" customFormat="false" ht="15" hidden="false" customHeight="true" outlineLevel="0" collapsed="false">
      <c r="B117" s="1" t="s">
        <v>154</v>
      </c>
      <c r="C117" s="18" t="n">
        <v>0.14940662688041</v>
      </c>
      <c r="D117" s="18" t="n">
        <v>0.142638267715858</v>
      </c>
      <c r="E117" s="18" t="n">
        <v>0.787479692026502</v>
      </c>
      <c r="F117" s="18" t="n">
        <v>0.451039610723151</v>
      </c>
      <c r="G117" s="18" t="n">
        <v>0.115115004385242</v>
      </c>
      <c r="H117" s="16" t="n">
        <v>0</v>
      </c>
      <c r="I117" s="18" t="n">
        <v>0.0813069056239771</v>
      </c>
      <c r="J117" s="19" t="s">
        <v>139</v>
      </c>
      <c r="K117" s="20"/>
      <c r="L117" s="20"/>
      <c r="M117" s="20"/>
      <c r="N117" s="20"/>
      <c r="O117" s="20"/>
    </row>
    <row r="118" customFormat="false" ht="15" hidden="false" customHeight="true" outlineLevel="0" collapsed="false">
      <c r="B118" s="3" t="s">
        <v>155</v>
      </c>
      <c r="C118" s="20"/>
      <c r="D118" s="20"/>
      <c r="E118" s="20"/>
      <c r="F118" s="20"/>
      <c r="G118" s="20"/>
      <c r="H118" s="20"/>
      <c r="I118" s="20"/>
      <c r="J118" s="20"/>
      <c r="K118" s="20"/>
      <c r="L118" s="20"/>
      <c r="M118" s="20"/>
      <c r="N118" s="20"/>
      <c r="O118" s="20"/>
    </row>
    <row r="119" customFormat="false" ht="15" hidden="false" customHeight="true" outlineLevel="0" collapsed="false">
      <c r="B119" s="20"/>
      <c r="C119" s="20"/>
      <c r="D119" s="20"/>
      <c r="E119" s="20"/>
      <c r="F119" s="20"/>
      <c r="G119" s="20"/>
      <c r="H119" s="20"/>
      <c r="I119" s="20"/>
      <c r="J119" s="20"/>
      <c r="K119" s="20"/>
      <c r="L119" s="20"/>
      <c r="M119" s="20"/>
      <c r="N119" s="20"/>
      <c r="O119" s="20"/>
    </row>
    <row r="120" customFormat="false" ht="15" hidden="false" customHeight="true" outlineLevel="0" collapsed="false">
      <c r="B120" s="5" t="s">
        <v>156</v>
      </c>
      <c r="C120" s="5" t="s">
        <v>157</v>
      </c>
      <c r="D120" s="5" t="s">
        <v>158</v>
      </c>
      <c r="E120" s="20"/>
      <c r="F120" s="20"/>
      <c r="G120" s="20"/>
      <c r="H120" s="20"/>
      <c r="I120" s="20"/>
      <c r="J120" s="20"/>
      <c r="K120" s="20"/>
      <c r="L120" s="20"/>
      <c r="M120" s="20"/>
      <c r="N120" s="20"/>
      <c r="O120" s="20"/>
    </row>
    <row r="121" customFormat="false" ht="15" hidden="false" customHeight="true" outlineLevel="0" collapsed="false">
      <c r="B121" s="1" t="s">
        <v>159</v>
      </c>
      <c r="C121" s="16" t="n">
        <v>21.66</v>
      </c>
      <c r="D121" s="16" t="n">
        <v>21.6825907860183</v>
      </c>
      <c r="E121" s="20"/>
      <c r="F121" s="20"/>
      <c r="G121" s="20"/>
      <c r="H121" s="20"/>
      <c r="I121" s="20"/>
      <c r="J121" s="20"/>
      <c r="K121" s="20"/>
      <c r="L121" s="20"/>
      <c r="M121" s="20"/>
      <c r="N121" s="20"/>
      <c r="O121" s="20"/>
    </row>
    <row r="122" customFormat="false" ht="15" hidden="false" customHeight="true" outlineLevel="0" collapsed="false">
      <c r="B122" s="1" t="s">
        <v>27</v>
      </c>
      <c r="C122" s="16" t="n">
        <v>30.94</v>
      </c>
      <c r="D122" s="16" t="n">
        <v>30.9751296943119</v>
      </c>
      <c r="E122" s="20"/>
      <c r="F122" s="20"/>
      <c r="G122" s="20"/>
      <c r="H122" s="20"/>
      <c r="I122" s="20"/>
      <c r="J122" s="20"/>
      <c r="K122" s="20"/>
      <c r="L122" s="20"/>
      <c r="M122" s="20"/>
      <c r="N122" s="20"/>
      <c r="O122" s="20"/>
    </row>
    <row r="123" customFormat="false" ht="15" hidden="false" customHeight="true" outlineLevel="0" collapsed="false">
      <c r="B123" s="1" t="s">
        <v>160</v>
      </c>
      <c r="C123" s="18" t="n">
        <v>0.155</v>
      </c>
      <c r="D123" s="18" t="n">
        <v>0.156484343848267</v>
      </c>
      <c r="E123" s="20"/>
      <c r="F123" s="20"/>
      <c r="G123" s="20"/>
      <c r="H123" s="20"/>
      <c r="I123" s="20"/>
      <c r="J123" s="20"/>
      <c r="K123" s="20"/>
      <c r="L123" s="20"/>
      <c r="M123" s="20"/>
      <c r="N123" s="20"/>
      <c r="O123" s="20"/>
    </row>
    <row r="124" customFormat="false" ht="15" hidden="false" customHeight="true" outlineLevel="0" collapsed="false">
      <c r="B124" s="1" t="s">
        <v>161</v>
      </c>
      <c r="C124" s="18" t="n">
        <v>0.131</v>
      </c>
      <c r="D124" s="18" t="n">
        <v>0.126046755811269</v>
      </c>
      <c r="E124" s="20"/>
      <c r="F124" s="20"/>
      <c r="G124" s="20"/>
      <c r="H124" s="20"/>
      <c r="I124" s="20"/>
      <c r="J124" s="20"/>
      <c r="K124" s="20"/>
      <c r="L124" s="20"/>
      <c r="M124" s="20"/>
      <c r="N124" s="20"/>
      <c r="O124" s="20"/>
    </row>
    <row r="125" customFormat="false" ht="15" hidden="false" customHeight="true" outlineLevel="0" collapsed="false">
      <c r="B125" s="1" t="s">
        <v>162</v>
      </c>
      <c r="C125" s="16" t="n">
        <v>3.72</v>
      </c>
      <c r="D125" s="16" t="n">
        <v>3.86304036844961</v>
      </c>
      <c r="E125" s="20"/>
      <c r="F125" s="20"/>
      <c r="G125" s="20"/>
      <c r="H125" s="20"/>
      <c r="I125" s="20"/>
      <c r="J125" s="20"/>
      <c r="K125" s="20"/>
      <c r="L125" s="20"/>
      <c r="M125" s="20"/>
      <c r="N125" s="20"/>
      <c r="O125" s="20"/>
    </row>
    <row r="126" customFormat="false" ht="15" hidden="false" customHeight="true" outlineLevel="0" collapsed="false">
      <c r="B126" s="3" t="s">
        <v>163</v>
      </c>
      <c r="C126" s="20"/>
      <c r="D126" s="20"/>
      <c r="E126" s="20"/>
      <c r="F126" s="20"/>
      <c r="G126" s="20"/>
      <c r="H126" s="20"/>
      <c r="I126" s="20"/>
      <c r="J126" s="20"/>
      <c r="K126" s="20"/>
      <c r="L126" s="20"/>
      <c r="M126" s="20"/>
      <c r="N126" s="20"/>
      <c r="O126" s="20"/>
    </row>
    <row r="127" customFormat="false" ht="15" hidden="false" customHeight="true" outlineLevel="0" collapsed="false">
      <c r="B127" s="20"/>
      <c r="C127" s="20"/>
      <c r="D127" s="20"/>
      <c r="E127" s="20"/>
      <c r="F127" s="20"/>
      <c r="G127" s="20"/>
      <c r="H127" s="20"/>
      <c r="I127" s="20"/>
      <c r="J127" s="20"/>
      <c r="K127" s="20"/>
      <c r="L127" s="20"/>
      <c r="M127" s="20"/>
      <c r="N127" s="20"/>
      <c r="O127" s="20"/>
    </row>
    <row r="128" customFormat="false" ht="15" hidden="false" customHeight="true" outlineLevel="0" collapsed="false">
      <c r="B128" s="20"/>
      <c r="C128" s="20"/>
      <c r="D128" s="20"/>
      <c r="E128" s="20"/>
      <c r="F128" s="20"/>
      <c r="G128" s="20"/>
      <c r="H128" s="20"/>
      <c r="I128" s="20"/>
      <c r="J128" s="20"/>
      <c r="K128" s="20"/>
      <c r="L128" s="20"/>
      <c r="M128" s="20"/>
      <c r="N128" s="20"/>
      <c r="O128" s="20"/>
    </row>
    <row r="129" customFormat="false" ht="15" hidden="false" customHeight="true" outlineLevel="0" collapsed="false">
      <c r="B129" s="20"/>
      <c r="C129" s="20"/>
      <c r="D129" s="20"/>
      <c r="E129" s="20"/>
      <c r="F129" s="20"/>
      <c r="G129" s="20"/>
      <c r="H129" s="20"/>
      <c r="I129" s="20"/>
      <c r="J129" s="20"/>
      <c r="K129" s="20"/>
      <c r="L129" s="20"/>
      <c r="M129" s="20"/>
      <c r="N129" s="20"/>
      <c r="O129" s="20"/>
    </row>
    <row r="130" customFormat="false" ht="15" hidden="false" customHeight="true" outlineLevel="0" collapsed="false">
      <c r="B130" s="20"/>
      <c r="C130" s="20"/>
      <c r="D130" s="20"/>
      <c r="E130" s="20"/>
      <c r="F130" s="20"/>
      <c r="G130" s="20"/>
      <c r="H130" s="20"/>
      <c r="I130" s="20"/>
      <c r="J130" s="20"/>
      <c r="K130" s="20"/>
      <c r="L130" s="20"/>
      <c r="M130" s="20"/>
      <c r="N130" s="20"/>
      <c r="O130" s="20"/>
    </row>
    <row r="131" customFormat="false" ht="15" hidden="false" customHeight="true" outlineLevel="0" collapsed="false">
      <c r="B131" s="20"/>
      <c r="C131" s="20"/>
      <c r="D131" s="20"/>
      <c r="E131" s="20"/>
      <c r="F131" s="20"/>
      <c r="G131" s="20"/>
      <c r="H131" s="20"/>
      <c r="I131" s="20"/>
      <c r="J131" s="20"/>
      <c r="K131" s="20"/>
      <c r="L131" s="20"/>
      <c r="M131" s="20"/>
      <c r="N131" s="20"/>
      <c r="O131" s="20"/>
    </row>
    <row r="132" customFormat="false" ht="15" hidden="false" customHeight="true" outlineLevel="0" collapsed="false">
      <c r="B132" s="20"/>
      <c r="C132" s="20"/>
      <c r="D132" s="20"/>
      <c r="E132" s="20"/>
      <c r="F132" s="20"/>
      <c r="G132" s="20"/>
      <c r="H132" s="20"/>
      <c r="I132" s="20"/>
      <c r="J132" s="20"/>
      <c r="K132" s="20"/>
      <c r="L132" s="20"/>
      <c r="M132" s="20"/>
      <c r="N132" s="20"/>
      <c r="O132" s="20"/>
    </row>
    <row r="133" customFormat="false" ht="15" hidden="false" customHeight="true" outlineLevel="0" collapsed="false">
      <c r="B133" s="20"/>
      <c r="C133" s="20"/>
      <c r="D133" s="20"/>
      <c r="E133" s="20"/>
      <c r="F133" s="20"/>
      <c r="G133" s="20"/>
      <c r="H133" s="20"/>
      <c r="I133" s="20"/>
      <c r="J133" s="20"/>
      <c r="K133" s="20"/>
      <c r="L133" s="20"/>
      <c r="M133" s="20"/>
      <c r="N133" s="20"/>
      <c r="O133" s="20"/>
    </row>
    <row r="134" customFormat="false" ht="15" hidden="false" customHeight="true" outlineLevel="0" collapsed="false">
      <c r="B134" s="20"/>
      <c r="C134" s="20"/>
      <c r="D134" s="20"/>
      <c r="E134" s="20"/>
      <c r="F134" s="20"/>
      <c r="G134" s="20"/>
      <c r="H134" s="20"/>
      <c r="I134" s="20"/>
      <c r="J134" s="20"/>
      <c r="K134" s="20"/>
      <c r="L134" s="20"/>
      <c r="M134" s="20"/>
      <c r="N134" s="20"/>
      <c r="O134" s="20"/>
    </row>
    <row r="135" customFormat="false" ht="15" hidden="false" customHeight="true" outlineLevel="0" collapsed="false">
      <c r="B135" s="20"/>
      <c r="C135" s="20"/>
      <c r="D135" s="20"/>
      <c r="E135" s="20"/>
      <c r="F135" s="20"/>
      <c r="G135" s="20"/>
      <c r="H135" s="20"/>
      <c r="I135" s="20"/>
      <c r="J135" s="20"/>
      <c r="K135" s="20"/>
      <c r="L135" s="20"/>
      <c r="M135" s="20"/>
      <c r="N135" s="20"/>
      <c r="O135" s="20"/>
    </row>
    <row r="136" customFormat="false" ht="15" hidden="false" customHeight="true" outlineLevel="0" collapsed="false">
      <c r="B136" s="20"/>
      <c r="C136" s="20"/>
      <c r="D136" s="20"/>
      <c r="E136" s="20"/>
      <c r="F136" s="20"/>
      <c r="G136" s="20"/>
      <c r="H136" s="20"/>
      <c r="I136" s="20"/>
      <c r="J136" s="20"/>
      <c r="K136" s="20"/>
      <c r="L136" s="20"/>
      <c r="M136" s="20"/>
      <c r="N136" s="20"/>
      <c r="O136" s="20"/>
    </row>
    <row r="137" customFormat="false" ht="15" hidden="false" customHeight="true" outlineLevel="0" collapsed="false">
      <c r="B137" s="20"/>
      <c r="C137" s="20"/>
      <c r="D137" s="20"/>
      <c r="E137" s="20"/>
      <c r="F137" s="20"/>
      <c r="G137" s="20"/>
      <c r="H137" s="20"/>
      <c r="I137" s="20"/>
      <c r="J137" s="20"/>
      <c r="K137" s="20"/>
      <c r="L137" s="20"/>
      <c r="M137" s="20"/>
      <c r="N137" s="20"/>
      <c r="O137" s="20"/>
    </row>
    <row r="138" customFormat="false" ht="15" hidden="false" customHeight="true" outlineLevel="0" collapsed="false">
      <c r="B138" s="20"/>
      <c r="C138" s="20"/>
      <c r="D138" s="20"/>
      <c r="E138" s="20"/>
      <c r="F138" s="20"/>
      <c r="G138" s="20"/>
      <c r="H138" s="20"/>
      <c r="I138" s="20"/>
      <c r="J138" s="20"/>
      <c r="K138" s="20"/>
      <c r="L138" s="20"/>
      <c r="M138" s="20"/>
      <c r="N138" s="20"/>
      <c r="O138" s="20"/>
    </row>
    <row r="139" customFormat="false" ht="15" hidden="false" customHeight="true" outlineLevel="0" collapsed="false">
      <c r="B139" s="20"/>
      <c r="C139" s="20"/>
      <c r="D139" s="20"/>
      <c r="E139" s="20"/>
      <c r="F139" s="20"/>
      <c r="G139" s="20"/>
      <c r="H139" s="20"/>
      <c r="I139" s="20"/>
      <c r="J139" s="20"/>
      <c r="K139" s="20"/>
      <c r="L139" s="20"/>
      <c r="M139" s="20"/>
      <c r="N139" s="20"/>
      <c r="O139"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4" min="3" style="1" width="13"/>
    <col collapsed="false" customWidth="true" hidden="false" outlineLevel="0" max="5" min="5" style="1" width="18"/>
    <col collapsed="false" customWidth="true" hidden="false" outlineLevel="0" max="6" min="6" style="1" width="80"/>
  </cols>
  <sheetData>
    <row r="1" customFormat="false" ht="17.25" hidden="false" customHeight="true" outlineLevel="0" collapsed="false">
      <c r="B1" s="2" t="s">
        <v>164</v>
      </c>
    </row>
    <row r="2" customFormat="false" ht="15" hidden="false" customHeight="true" outlineLevel="0" collapsed="false">
      <c r="B2" s="3" t="s">
        <v>165</v>
      </c>
    </row>
    <row r="3" customFormat="false" ht="15" hidden="false" customHeight="true" outlineLevel="0" collapsed="false">
      <c r="B3" s="3" t="s">
        <v>166</v>
      </c>
    </row>
    <row r="5" customFormat="false" ht="15" hidden="false" customHeight="true" outlineLevel="0" collapsed="false">
      <c r="B5" s="21" t="s">
        <v>167</v>
      </c>
      <c r="C5" s="21" t="s">
        <v>22</v>
      </c>
      <c r="D5" s="21" t="s">
        <v>23</v>
      </c>
      <c r="E5" s="21" t="s">
        <v>168</v>
      </c>
      <c r="F5" s="21" t="s">
        <v>169</v>
      </c>
    </row>
    <row r="6" customFormat="false" ht="15" hidden="false" customHeight="true" outlineLevel="0" collapsed="false">
      <c r="B6" s="4" t="s">
        <v>170</v>
      </c>
      <c r="C6" s="22" t="n">
        <v>25</v>
      </c>
      <c r="D6" s="22" t="n">
        <v>50</v>
      </c>
      <c r="E6" s="3" t="s">
        <v>171</v>
      </c>
      <c r="F6" s="3" t="s">
        <v>172</v>
      </c>
    </row>
    <row r="7" customFormat="false" ht="15" hidden="false" customHeight="true" outlineLevel="0" collapsed="false">
      <c r="B7" s="4" t="s">
        <v>173</v>
      </c>
      <c r="C7" s="23" t="n">
        <v>2028</v>
      </c>
      <c r="D7" s="23" t="n">
        <v>2029</v>
      </c>
      <c r="E7" s="3" t="s">
        <v>174</v>
      </c>
      <c r="F7" s="3" t="s">
        <v>175</v>
      </c>
    </row>
    <row r="8" customFormat="false" ht="15" hidden="false" customHeight="true" outlineLevel="0" collapsed="false">
      <c r="B8" s="4" t="s">
        <v>176</v>
      </c>
      <c r="C8" s="22" t="n">
        <v>4</v>
      </c>
      <c r="D8" s="22" t="n">
        <v>4</v>
      </c>
      <c r="E8" s="3" t="s">
        <v>177</v>
      </c>
      <c r="F8" s="3" t="s">
        <v>178</v>
      </c>
    </row>
    <row r="9" customFormat="false" ht="15" hidden="false" customHeight="true" outlineLevel="0" collapsed="false">
      <c r="B9" s="4" t="s">
        <v>179</v>
      </c>
      <c r="C9" s="24" t="n">
        <f aca="false">MAX(0,12-(C8-1)-C35)</f>
        <v>5</v>
      </c>
      <c r="D9" s="24" t="n">
        <f aca="false">MAX(0,12-(D8-1)-D35)</f>
        <v>3</v>
      </c>
      <c r="E9" s="3" t="s">
        <v>180</v>
      </c>
      <c r="F9" s="3" t="s">
        <v>181</v>
      </c>
    </row>
    <row r="10" customFormat="false" ht="15" hidden="false" customHeight="true" outlineLevel="0" collapsed="false">
      <c r="B10" s="4" t="s">
        <v>182</v>
      </c>
      <c r="C10" s="22" t="n">
        <v>27251</v>
      </c>
      <c r="D10" s="22" t="n">
        <v>27251</v>
      </c>
      <c r="E10" s="3" t="s">
        <v>183</v>
      </c>
      <c r="F10" s="3" t="s">
        <v>184</v>
      </c>
    </row>
    <row r="11" customFormat="false" ht="15" hidden="false" customHeight="true" outlineLevel="0" collapsed="false">
      <c r="B11" s="4" t="s">
        <v>185</v>
      </c>
      <c r="C11" s="18" t="n">
        <v>0.03</v>
      </c>
      <c r="D11" s="18" t="n">
        <v>0.03</v>
      </c>
      <c r="E11" s="3" t="s">
        <v>186</v>
      </c>
      <c r="F11" s="3" t="s">
        <v>187</v>
      </c>
    </row>
    <row r="12" customFormat="false" ht="15" hidden="false" customHeight="true" outlineLevel="0" collapsed="false">
      <c r="B12" s="4" t="s">
        <v>188</v>
      </c>
      <c r="C12" s="16" t="n">
        <v>31.67</v>
      </c>
      <c r="D12" s="16" t="n">
        <v>31.67</v>
      </c>
      <c r="E12" s="3" t="s">
        <v>189</v>
      </c>
      <c r="F12" s="3" t="s">
        <v>190</v>
      </c>
    </row>
    <row r="13" customFormat="false" ht="15" hidden="false" customHeight="true" outlineLevel="0" collapsed="false">
      <c r="B13" s="4" t="s">
        <v>191</v>
      </c>
      <c r="C13" s="18" t="n">
        <v>0.03</v>
      </c>
      <c r="D13" s="18" t="n">
        <v>0.03</v>
      </c>
      <c r="E13" s="3" t="s">
        <v>186</v>
      </c>
      <c r="F13" s="3" t="s">
        <v>187</v>
      </c>
    </row>
    <row r="14" customFormat="false" ht="15" hidden="false" customHeight="true" outlineLevel="0" collapsed="false">
      <c r="B14" s="4" t="s">
        <v>192</v>
      </c>
      <c r="C14" s="22" t="n">
        <v>1492</v>
      </c>
      <c r="D14" s="22" t="n">
        <v>1492</v>
      </c>
      <c r="E14" s="3" t="s">
        <v>193</v>
      </c>
      <c r="F14" s="3" t="s">
        <v>194</v>
      </c>
    </row>
    <row r="15" customFormat="false" ht="15" hidden="false" customHeight="true" outlineLevel="0" collapsed="false">
      <c r="B15" s="4" t="s">
        <v>195</v>
      </c>
      <c r="C15" s="25" t="n">
        <v>0.004</v>
      </c>
      <c r="D15" s="25" t="n">
        <v>0.004</v>
      </c>
      <c r="E15" s="3" t="s">
        <v>196</v>
      </c>
      <c r="F15" s="3" t="s">
        <v>197</v>
      </c>
    </row>
    <row r="16" customFormat="false" ht="15" hidden="false" customHeight="true" outlineLevel="0" collapsed="false">
      <c r="B16" s="4" t="s">
        <v>198</v>
      </c>
      <c r="C16" s="26" t="n">
        <v>4.04</v>
      </c>
      <c r="D16" s="26" t="n">
        <v>4.04</v>
      </c>
      <c r="E16" s="3" t="s">
        <v>199</v>
      </c>
      <c r="F16" s="3" t="s">
        <v>200</v>
      </c>
    </row>
    <row r="17" customFormat="false" ht="15" hidden="false" customHeight="true" outlineLevel="0" collapsed="false">
      <c r="B17" s="4" t="s">
        <v>201</v>
      </c>
      <c r="C17" s="27" t="n">
        <v>25</v>
      </c>
      <c r="D17" s="27" t="n">
        <v>25</v>
      </c>
      <c r="E17" s="3" t="s">
        <v>202</v>
      </c>
      <c r="F17" s="3" t="s">
        <v>187</v>
      </c>
    </row>
    <row r="18" customFormat="false" ht="15" hidden="false" customHeight="true" outlineLevel="0" collapsed="false">
      <c r="B18" s="4" t="s">
        <v>203</v>
      </c>
      <c r="C18" s="27" t="n">
        <v>932</v>
      </c>
      <c r="D18" s="27" t="n">
        <v>932</v>
      </c>
      <c r="E18" s="3" t="s">
        <v>204</v>
      </c>
      <c r="F18" s="3" t="s">
        <v>205</v>
      </c>
    </row>
    <row r="19" customFormat="false" ht="15" hidden="false" customHeight="true" outlineLevel="0" collapsed="false">
      <c r="B19" s="4" t="s">
        <v>206</v>
      </c>
      <c r="C19" s="28" t="n">
        <v>0</v>
      </c>
      <c r="D19" s="28" t="n">
        <v>0</v>
      </c>
      <c r="E19" s="3" t="s">
        <v>196</v>
      </c>
      <c r="F19" s="3" t="s">
        <v>207</v>
      </c>
    </row>
    <row r="20" customFormat="false" ht="15" hidden="false" customHeight="true" outlineLevel="0" collapsed="false">
      <c r="B20" s="4" t="s">
        <v>208</v>
      </c>
      <c r="C20" s="27" t="n">
        <v>2354</v>
      </c>
      <c r="D20" s="27" t="n">
        <v>2354</v>
      </c>
      <c r="E20" s="3" t="s">
        <v>183</v>
      </c>
      <c r="F20" s="3" t="s">
        <v>209</v>
      </c>
    </row>
    <row r="21" customFormat="false" ht="15" hidden="false" customHeight="true" outlineLevel="0" collapsed="false">
      <c r="B21" s="4" t="s">
        <v>210</v>
      </c>
      <c r="C21" s="27" t="n">
        <v>12</v>
      </c>
      <c r="D21" s="27" t="n">
        <v>12</v>
      </c>
      <c r="E21" s="3" t="s">
        <v>211</v>
      </c>
      <c r="F21" s="3" t="s">
        <v>187</v>
      </c>
    </row>
    <row r="22" customFormat="false" ht="15" hidden="false" customHeight="true" outlineLevel="0" collapsed="false">
      <c r="B22" s="4" t="s">
        <v>212</v>
      </c>
      <c r="C22" s="18" t="n">
        <v>0.09</v>
      </c>
      <c r="D22" s="18" t="n">
        <v>0.09</v>
      </c>
      <c r="E22" s="3" t="s">
        <v>213</v>
      </c>
      <c r="F22" s="3" t="s">
        <v>214</v>
      </c>
    </row>
    <row r="23" customFormat="false" ht="15" hidden="false" customHeight="true" outlineLevel="0" collapsed="false">
      <c r="B23" s="4" t="s">
        <v>215</v>
      </c>
      <c r="C23" s="18" t="n">
        <v>0.055</v>
      </c>
      <c r="D23" s="18" t="n">
        <v>0.055</v>
      </c>
      <c r="E23" s="3" t="s">
        <v>213</v>
      </c>
      <c r="F23" s="3" t="s">
        <v>216</v>
      </c>
    </row>
    <row r="24" customFormat="false" ht="15" hidden="false" customHeight="true" outlineLevel="0" collapsed="false">
      <c r="B24" s="4" t="s">
        <v>217</v>
      </c>
      <c r="C24" s="18" t="n">
        <v>0.4</v>
      </c>
      <c r="D24" s="18" t="n">
        <v>0.4</v>
      </c>
      <c r="E24" s="3" t="s">
        <v>196</v>
      </c>
      <c r="F24" s="3" t="s">
        <v>218</v>
      </c>
    </row>
    <row r="25" customFormat="false" ht="15" hidden="false" customHeight="true" outlineLevel="0" collapsed="false">
      <c r="B25" s="4" t="s">
        <v>219</v>
      </c>
      <c r="C25" s="25" t="n">
        <v>0.25168</v>
      </c>
      <c r="D25" s="25" t="n">
        <v>0.25168</v>
      </c>
      <c r="E25" s="3" t="s">
        <v>220</v>
      </c>
      <c r="F25" s="3" t="s">
        <v>221</v>
      </c>
    </row>
    <row r="27" customFormat="false" ht="15" hidden="false" customHeight="true" outlineLevel="0" collapsed="false">
      <c r="B27" s="21" t="s">
        <v>222</v>
      </c>
      <c r="C27" s="21" t="s">
        <v>22</v>
      </c>
      <c r="D27" s="21" t="s">
        <v>23</v>
      </c>
      <c r="E27" s="21" t="s">
        <v>168</v>
      </c>
      <c r="F27" s="21" t="s">
        <v>169</v>
      </c>
    </row>
    <row r="28" customFormat="false" ht="15" hidden="false" customHeight="true" outlineLevel="0" collapsed="false">
      <c r="B28" s="4" t="s">
        <v>223</v>
      </c>
      <c r="C28" s="18" t="n">
        <v>0.7</v>
      </c>
      <c r="D28" s="18" t="n">
        <v>0.7</v>
      </c>
      <c r="E28" s="3" t="s">
        <v>220</v>
      </c>
      <c r="F28" s="3" t="s">
        <v>187</v>
      </c>
    </row>
    <row r="29" customFormat="false" ht="15" hidden="false" customHeight="true" outlineLevel="0" collapsed="false">
      <c r="B29" s="4" t="s">
        <v>224</v>
      </c>
      <c r="C29" s="29" t="n">
        <v>1.3</v>
      </c>
      <c r="D29" s="29" t="n">
        <v>1.3</v>
      </c>
      <c r="E29" s="3" t="s">
        <v>225</v>
      </c>
      <c r="F29" s="3" t="s">
        <v>187</v>
      </c>
    </row>
    <row r="30" customFormat="false" ht="15" hidden="false" customHeight="true" outlineLevel="0" collapsed="false">
      <c r="B30" s="4" t="s">
        <v>226</v>
      </c>
      <c r="C30" s="25" t="n">
        <v>0.105</v>
      </c>
      <c r="D30" s="25" t="n">
        <v>0.105</v>
      </c>
      <c r="E30" s="3" t="s">
        <v>196</v>
      </c>
      <c r="F30" s="3" t="s">
        <v>227</v>
      </c>
    </row>
    <row r="31" customFormat="false" ht="15" hidden="false" customHeight="true" outlineLevel="0" collapsed="false">
      <c r="B31" s="4" t="s">
        <v>228</v>
      </c>
      <c r="C31" s="22" t="n">
        <v>10</v>
      </c>
      <c r="D31" s="22" t="n">
        <v>10</v>
      </c>
      <c r="E31" s="3" t="s">
        <v>202</v>
      </c>
      <c r="F31" s="3" t="s">
        <v>187</v>
      </c>
    </row>
    <row r="32" customFormat="false" ht="15" hidden="false" customHeight="true" outlineLevel="0" collapsed="false">
      <c r="B32" s="4" t="s">
        <v>229</v>
      </c>
      <c r="C32" s="25" t="n">
        <v>0.0125</v>
      </c>
      <c r="D32" s="25" t="n">
        <v>0.0125</v>
      </c>
      <c r="E32" s="3" t="s">
        <v>230</v>
      </c>
      <c r="F32" s="3" t="s">
        <v>187</v>
      </c>
    </row>
    <row r="33" customFormat="false" ht="15" hidden="false" customHeight="true" outlineLevel="0" collapsed="false">
      <c r="B33" s="4" t="s">
        <v>231</v>
      </c>
      <c r="C33" s="25" t="n">
        <v>0.01</v>
      </c>
      <c r="D33" s="25" t="n">
        <v>0.01</v>
      </c>
      <c r="E33" s="3" t="s">
        <v>232</v>
      </c>
      <c r="F33" s="3" t="s">
        <v>187</v>
      </c>
    </row>
    <row r="34" customFormat="false" ht="15" hidden="false" customHeight="true" outlineLevel="0" collapsed="false">
      <c r="B34" s="4" t="s">
        <v>233</v>
      </c>
      <c r="C34" s="30" t="n">
        <v>5.9</v>
      </c>
      <c r="D34" s="30" t="n">
        <v>5.9</v>
      </c>
      <c r="E34" s="3" t="s">
        <v>180</v>
      </c>
      <c r="F34" s="3" t="s">
        <v>234</v>
      </c>
    </row>
    <row r="35" customFormat="false" ht="15" hidden="false" customHeight="true" outlineLevel="0" collapsed="false">
      <c r="B35" s="4" t="s">
        <v>235</v>
      </c>
      <c r="C35" s="22" t="n">
        <v>4</v>
      </c>
      <c r="D35" s="22" t="n">
        <v>6</v>
      </c>
      <c r="E35" s="3" t="s">
        <v>180</v>
      </c>
      <c r="F35" s="3" t="s">
        <v>236</v>
      </c>
    </row>
    <row r="36" customFormat="false" ht="15" hidden="false" customHeight="true" outlineLevel="0" collapsed="false">
      <c r="B36" s="4" t="s">
        <v>237</v>
      </c>
      <c r="C36" s="22" t="n">
        <v>3</v>
      </c>
      <c r="D36" s="22" t="n">
        <v>0</v>
      </c>
      <c r="E36" s="3" t="s">
        <v>238</v>
      </c>
      <c r="F36" s="3" t="s">
        <v>239</v>
      </c>
    </row>
    <row r="37" customFormat="false" ht="15" hidden="false" customHeight="true" outlineLevel="0" collapsed="false">
      <c r="B37" s="4" t="s">
        <v>240</v>
      </c>
      <c r="C37" s="31" t="n">
        <f aca="false">IF(AND(C92&gt;0,C100=1),C102,C76)</f>
        <v>0.125</v>
      </c>
      <c r="D37" s="31" t="n">
        <f aca="false">C102</f>
        <v>0.065</v>
      </c>
      <c r="E37" s="3" t="s">
        <v>196</v>
      </c>
      <c r="F37" s="3" t="s">
        <v>241</v>
      </c>
    </row>
    <row r="38" customFormat="false" ht="15" hidden="false" customHeight="true" outlineLevel="0" collapsed="false">
      <c r="B38" s="4" t="s">
        <v>242</v>
      </c>
      <c r="C38" s="22" t="n">
        <v>2</v>
      </c>
      <c r="D38" s="22" t="n">
        <v>2</v>
      </c>
      <c r="E38" s="3" t="s">
        <v>238</v>
      </c>
      <c r="F38" s="3" t="s">
        <v>243</v>
      </c>
    </row>
    <row r="39" customFormat="false" ht="15" hidden="false" customHeight="true" outlineLevel="0" collapsed="false">
      <c r="B39" s="4" t="s">
        <v>244</v>
      </c>
      <c r="C39" s="18" t="n">
        <v>0.064</v>
      </c>
      <c r="D39" s="18" t="n">
        <v>0.064</v>
      </c>
      <c r="E39" s="3" t="s">
        <v>220</v>
      </c>
      <c r="F39" s="3" t="s">
        <v>245</v>
      </c>
    </row>
    <row r="40" customFormat="false" ht="15" hidden="false" customHeight="true" outlineLevel="0" collapsed="false">
      <c r="B40" s="4" t="s">
        <v>246</v>
      </c>
      <c r="C40" s="27" t="n">
        <v>6</v>
      </c>
      <c r="D40" s="27" t="n">
        <v>6</v>
      </c>
      <c r="E40" s="3" t="s">
        <v>180</v>
      </c>
      <c r="F40" s="3" t="s">
        <v>187</v>
      </c>
    </row>
    <row r="41" customFormat="false" ht="15" hidden="false" customHeight="true" outlineLevel="0" collapsed="false">
      <c r="B41" s="4" t="s">
        <v>247</v>
      </c>
      <c r="C41" s="22" t="n">
        <v>1</v>
      </c>
      <c r="D41" s="22" t="n">
        <v>1</v>
      </c>
      <c r="E41" s="3" t="s">
        <v>238</v>
      </c>
      <c r="F41" s="3" t="s">
        <v>248</v>
      </c>
    </row>
    <row r="42" customFormat="false" ht="15" hidden="false" customHeight="true" outlineLevel="0" collapsed="false">
      <c r="B42" s="4" t="s">
        <v>249</v>
      </c>
      <c r="C42" s="18" t="n">
        <v>0.015</v>
      </c>
      <c r="D42" s="18" t="n">
        <v>0.015</v>
      </c>
      <c r="E42" s="3" t="s">
        <v>196</v>
      </c>
      <c r="F42" s="3" t="s">
        <v>250</v>
      </c>
    </row>
    <row r="44" customFormat="false" ht="15" hidden="false" customHeight="true" outlineLevel="0" collapsed="false">
      <c r="B44" s="21" t="s">
        <v>251</v>
      </c>
      <c r="C44" s="21" t="s">
        <v>22</v>
      </c>
      <c r="D44" s="21" t="s">
        <v>23</v>
      </c>
      <c r="E44" s="21" t="s">
        <v>168</v>
      </c>
      <c r="F44" s="21" t="s">
        <v>169</v>
      </c>
    </row>
    <row r="45" customFormat="false" ht="15" hidden="false" customHeight="true" outlineLevel="0" collapsed="false">
      <c r="B45" s="4" t="s">
        <v>252</v>
      </c>
      <c r="C45" s="25" t="n">
        <v>0.105</v>
      </c>
      <c r="D45" s="25" t="n">
        <v>0.105</v>
      </c>
      <c r="E45" s="3" t="s">
        <v>196</v>
      </c>
      <c r="F45" s="3" t="s">
        <v>253</v>
      </c>
    </row>
    <row r="46" customFormat="false" ht="15" hidden="false" customHeight="true" outlineLevel="0" collapsed="false">
      <c r="B46" s="4" t="s">
        <v>254</v>
      </c>
      <c r="C46" s="18" t="n">
        <v>0.7</v>
      </c>
      <c r="D46" s="18" t="n">
        <v>0.7</v>
      </c>
      <c r="E46" s="3" t="s">
        <v>220</v>
      </c>
      <c r="F46" s="3"/>
    </row>
    <row r="47" customFormat="false" ht="15" hidden="false" customHeight="true" outlineLevel="0" collapsed="false">
      <c r="B47" s="4" t="s">
        <v>255</v>
      </c>
      <c r="C47" s="25" t="n">
        <v>0.115</v>
      </c>
      <c r="D47" s="25" t="n">
        <v>0.105</v>
      </c>
      <c r="E47" s="3" t="s">
        <v>196</v>
      </c>
      <c r="F47" s="3" t="s">
        <v>256</v>
      </c>
    </row>
    <row r="48" customFormat="false" ht="15" hidden="false" customHeight="true" outlineLevel="0" collapsed="false">
      <c r="B48" s="4" t="s">
        <v>257</v>
      </c>
      <c r="C48" s="18" t="n">
        <v>0.6</v>
      </c>
      <c r="D48" s="18" t="n">
        <v>0.7</v>
      </c>
      <c r="E48" s="3" t="s">
        <v>220</v>
      </c>
      <c r="F48" s="3" t="s">
        <v>258</v>
      </c>
    </row>
    <row r="49" customFormat="false" ht="15" hidden="false" customHeight="true" outlineLevel="0" collapsed="false">
      <c r="B49" s="4" t="s">
        <v>259</v>
      </c>
      <c r="C49" s="25" t="n">
        <v>0.115</v>
      </c>
      <c r="D49" s="25" t="n">
        <v>0.115</v>
      </c>
      <c r="E49" s="3" t="s">
        <v>196</v>
      </c>
      <c r="F49" s="3" t="s">
        <v>260</v>
      </c>
    </row>
    <row r="50" customFormat="false" ht="15" hidden="false" customHeight="true" outlineLevel="0" collapsed="false">
      <c r="B50" s="4" t="s">
        <v>261</v>
      </c>
      <c r="C50" s="18" t="n">
        <v>0.6</v>
      </c>
      <c r="D50" s="18" t="n">
        <v>0.6</v>
      </c>
      <c r="E50" s="3" t="s">
        <v>220</v>
      </c>
      <c r="F50" s="3"/>
    </row>
    <row r="51" customFormat="false" ht="15" hidden="false" customHeight="true" outlineLevel="0" collapsed="false">
      <c r="B51" s="4" t="s">
        <v>262</v>
      </c>
      <c r="C51" s="32" t="n">
        <f aca="false">IF($C$103=0,C30,CHOOSE($C$103,C45,C47,C49))</f>
        <v>0.105</v>
      </c>
      <c r="D51" s="32" t="n">
        <f aca="false">IF($C$103=0,D30,CHOOSE($C$103,D45,D47,D49))</f>
        <v>0.105</v>
      </c>
      <c r="E51" s="3" t="s">
        <v>196</v>
      </c>
      <c r="F51" s="3" t="s">
        <v>263</v>
      </c>
    </row>
    <row r="52" customFormat="false" ht="15" hidden="false" customHeight="true" outlineLevel="0" collapsed="false">
      <c r="B52" s="4" t="s">
        <v>264</v>
      </c>
      <c r="C52" s="33" t="n">
        <f aca="false">IF($C$103=0,C28,CHOOSE($C$103,C46,C48,C50))</f>
        <v>0.7</v>
      </c>
      <c r="D52" s="33" t="n">
        <f aca="false">IF($C$103=0,D28,CHOOSE($C$103,D46,D48,D50))</f>
        <v>0.7</v>
      </c>
      <c r="E52" s="3" t="s">
        <v>220</v>
      </c>
      <c r="F52" s="3" t="s">
        <v>265</v>
      </c>
    </row>
    <row r="54" customFormat="false" ht="15" hidden="false" customHeight="true" outlineLevel="0" collapsed="false">
      <c r="B54" s="21" t="s">
        <v>266</v>
      </c>
      <c r="C54" s="21" t="s">
        <v>22</v>
      </c>
      <c r="D54" s="21" t="s">
        <v>23</v>
      </c>
      <c r="E54" s="21" t="s">
        <v>168</v>
      </c>
      <c r="F54" s="21" t="s">
        <v>169</v>
      </c>
    </row>
    <row r="55" customFormat="false" ht="15" hidden="false" customHeight="true" outlineLevel="0" collapsed="false">
      <c r="B55" s="4" t="s">
        <v>267</v>
      </c>
      <c r="C55" s="28" t="n">
        <v>0.85</v>
      </c>
      <c r="D55" s="28" t="n">
        <v>0.85</v>
      </c>
      <c r="E55" s="3" t="s">
        <v>220</v>
      </c>
      <c r="F55" s="3" t="s">
        <v>268</v>
      </c>
    </row>
    <row r="56" customFormat="false" ht="15" hidden="false" customHeight="true" outlineLevel="0" collapsed="false">
      <c r="B56" s="4" t="s">
        <v>269</v>
      </c>
      <c r="C56" s="22" t="n">
        <v>1</v>
      </c>
      <c r="D56" s="22" t="n">
        <v>1</v>
      </c>
      <c r="E56" s="3" t="s">
        <v>238</v>
      </c>
      <c r="F56" s="3" t="s">
        <v>270</v>
      </c>
    </row>
    <row r="57" customFormat="false" ht="15" hidden="false" customHeight="true" outlineLevel="0" collapsed="false">
      <c r="B57" s="4" t="s">
        <v>271</v>
      </c>
      <c r="C57" s="28" t="n">
        <v>0.12</v>
      </c>
      <c r="D57" s="28" t="n">
        <v>0.12</v>
      </c>
      <c r="E57" s="3" t="s">
        <v>196</v>
      </c>
      <c r="F57" s="3" t="s">
        <v>272</v>
      </c>
    </row>
    <row r="58" customFormat="false" ht="15" hidden="false" customHeight="true" outlineLevel="0" collapsed="false">
      <c r="B58" s="4" t="s">
        <v>273</v>
      </c>
      <c r="C58" s="22" t="n">
        <v>10</v>
      </c>
      <c r="D58" s="22" t="n">
        <v>10</v>
      </c>
      <c r="E58" s="3" t="s">
        <v>211</v>
      </c>
      <c r="F58" s="3" t="s">
        <v>274</v>
      </c>
    </row>
    <row r="59" customFormat="false" ht="15" hidden="false" customHeight="true" outlineLevel="0" collapsed="false">
      <c r="B59" s="4" t="s">
        <v>275</v>
      </c>
      <c r="C59" s="18" t="n">
        <v>0.12</v>
      </c>
      <c r="D59" s="18" t="n">
        <v>0.12</v>
      </c>
      <c r="E59" s="3" t="s">
        <v>196</v>
      </c>
      <c r="F59" s="3" t="s">
        <v>276</v>
      </c>
    </row>
    <row r="60" customFormat="false" ht="15" hidden="false" customHeight="true" outlineLevel="0" collapsed="false">
      <c r="B60" s="4" t="s">
        <v>277</v>
      </c>
      <c r="C60" s="27" t="n">
        <v>1</v>
      </c>
      <c r="D60" s="27" t="n">
        <v>1</v>
      </c>
      <c r="E60" s="3" t="s">
        <v>211</v>
      </c>
      <c r="F60" s="3" t="s">
        <v>278</v>
      </c>
    </row>
    <row r="61" customFormat="false" ht="15" hidden="false" customHeight="true" outlineLevel="0" collapsed="false">
      <c r="B61" s="4" t="s">
        <v>279</v>
      </c>
      <c r="C61" s="22" t="n">
        <v>1</v>
      </c>
      <c r="D61" s="22" t="n">
        <v>1</v>
      </c>
      <c r="E61" s="3" t="s">
        <v>211</v>
      </c>
      <c r="F61" s="3" t="s">
        <v>280</v>
      </c>
    </row>
    <row r="62" customFormat="false" ht="15" hidden="false" customHeight="true" outlineLevel="0" collapsed="false">
      <c r="B62" s="4" t="s">
        <v>281</v>
      </c>
      <c r="C62" s="22" t="n">
        <v>11</v>
      </c>
      <c r="D62" s="22" t="n">
        <v>11</v>
      </c>
      <c r="E62" s="3" t="s">
        <v>211</v>
      </c>
      <c r="F62" s="3" t="s">
        <v>282</v>
      </c>
    </row>
    <row r="64" customFormat="false" ht="15" hidden="false" customHeight="true" outlineLevel="0" collapsed="false">
      <c r="B64" s="21" t="s">
        <v>283</v>
      </c>
      <c r="C64" s="21" t="s">
        <v>22</v>
      </c>
      <c r="D64" s="21" t="s">
        <v>23</v>
      </c>
      <c r="E64" s="21" t="s">
        <v>168</v>
      </c>
      <c r="F64" s="21" t="s">
        <v>169</v>
      </c>
    </row>
    <row r="65" customFormat="false" ht="15" hidden="false" customHeight="true" outlineLevel="0" collapsed="false">
      <c r="B65" s="4" t="s">
        <v>284</v>
      </c>
      <c r="C65" s="16" t="n">
        <v>15.94</v>
      </c>
      <c r="D65" s="16" t="n">
        <v>15.94</v>
      </c>
      <c r="E65" s="3" t="s">
        <v>189</v>
      </c>
      <c r="F65" s="3" t="s">
        <v>285</v>
      </c>
    </row>
    <row r="66" customFormat="false" ht="15" hidden="false" customHeight="true" outlineLevel="0" collapsed="false">
      <c r="B66" s="4" t="s">
        <v>286</v>
      </c>
      <c r="C66" s="22" t="n">
        <v>0</v>
      </c>
      <c r="D66" s="22" t="n">
        <v>0</v>
      </c>
      <c r="E66" s="3" t="s">
        <v>238</v>
      </c>
      <c r="F66" s="3" t="s">
        <v>287</v>
      </c>
    </row>
    <row r="67" customFormat="false" ht="15" hidden="false" customHeight="true" outlineLevel="0" collapsed="false">
      <c r="B67" s="4" t="s">
        <v>288</v>
      </c>
      <c r="C67" s="27" t="n">
        <v>2250</v>
      </c>
      <c r="D67" s="27" t="n">
        <v>2250</v>
      </c>
      <c r="E67" s="3" t="s">
        <v>289</v>
      </c>
      <c r="F67" s="3" t="s">
        <v>290</v>
      </c>
    </row>
    <row r="68" customFormat="false" ht="15" hidden="false" customHeight="true" outlineLevel="0" collapsed="false">
      <c r="B68" s="4" t="s">
        <v>291</v>
      </c>
      <c r="C68" s="28" t="n">
        <v>0.25</v>
      </c>
      <c r="D68" s="28" t="n">
        <v>0.25</v>
      </c>
      <c r="E68" s="3" t="s">
        <v>220</v>
      </c>
      <c r="F68" s="3" t="s">
        <v>292</v>
      </c>
    </row>
    <row r="69" customFormat="false" ht="15" hidden="false" customHeight="true" outlineLevel="0" collapsed="false">
      <c r="B69" s="4" t="s">
        <v>293</v>
      </c>
      <c r="C69" s="27" t="n">
        <v>1</v>
      </c>
      <c r="D69" s="27" t="n">
        <v>1</v>
      </c>
      <c r="E69" s="3" t="s">
        <v>211</v>
      </c>
      <c r="F69" s="3" t="s">
        <v>294</v>
      </c>
    </row>
    <row r="71" customFormat="false" ht="15" hidden="false" customHeight="true" outlineLevel="0" collapsed="false">
      <c r="B71" s="21" t="s">
        <v>295</v>
      </c>
      <c r="C71" s="34"/>
      <c r="D71" s="34"/>
      <c r="E71" s="34"/>
      <c r="F71" s="34"/>
    </row>
    <row r="72" customFormat="false" ht="15" hidden="false" customHeight="true" outlineLevel="0" collapsed="false">
      <c r="B72" s="4" t="s">
        <v>296</v>
      </c>
      <c r="C72" s="26" t="n">
        <v>10</v>
      </c>
      <c r="E72" s="3" t="s">
        <v>297</v>
      </c>
      <c r="F72" s="3" t="s">
        <v>298</v>
      </c>
    </row>
    <row r="73" customFormat="false" ht="15" hidden="false" customHeight="true" outlineLevel="0" collapsed="false">
      <c r="B73" s="4" t="s">
        <v>299</v>
      </c>
      <c r="C73" s="26" t="n">
        <v>0</v>
      </c>
      <c r="E73" s="3" t="s">
        <v>297</v>
      </c>
      <c r="F73" s="3" t="s">
        <v>294</v>
      </c>
    </row>
    <row r="74" customFormat="false" ht="15" hidden="false" customHeight="true" outlineLevel="0" collapsed="false">
      <c r="B74" s="4" t="s">
        <v>300</v>
      </c>
      <c r="C74" s="16" t="n">
        <v>0.2</v>
      </c>
      <c r="E74" s="3" t="s">
        <v>301</v>
      </c>
      <c r="F74" s="3" t="s">
        <v>294</v>
      </c>
    </row>
    <row r="75" customFormat="false" ht="15" hidden="false" customHeight="true" outlineLevel="0" collapsed="false">
      <c r="B75" s="4" t="s">
        <v>302</v>
      </c>
      <c r="C75" s="35" t="n">
        <v>2027</v>
      </c>
      <c r="E75" s="3" t="s">
        <v>174</v>
      </c>
      <c r="F75" s="3" t="s">
        <v>303</v>
      </c>
    </row>
    <row r="76" customFormat="false" ht="15" hidden="false" customHeight="true" outlineLevel="0" collapsed="false">
      <c r="B76" s="4" t="s">
        <v>304</v>
      </c>
      <c r="C76" s="28" t="n">
        <v>0.125</v>
      </c>
      <c r="E76" s="3" t="s">
        <v>196</v>
      </c>
      <c r="F76" s="3" t="s">
        <v>305</v>
      </c>
    </row>
    <row r="77" customFormat="false" ht="15" hidden="false" customHeight="true" outlineLevel="0" collapsed="false">
      <c r="B77" s="4" t="s">
        <v>306</v>
      </c>
      <c r="C77" s="23" t="n">
        <v>2029</v>
      </c>
      <c r="E77" s="3" t="s">
        <v>174</v>
      </c>
      <c r="F77" s="3" t="s">
        <v>307</v>
      </c>
    </row>
    <row r="78" customFormat="false" ht="15" hidden="false" customHeight="true" outlineLevel="0" collapsed="false">
      <c r="B78" s="4" t="s">
        <v>308</v>
      </c>
      <c r="C78" s="29" t="n">
        <v>1.58</v>
      </c>
      <c r="E78" s="3" t="s">
        <v>225</v>
      </c>
      <c r="F78" s="3" t="s">
        <v>309</v>
      </c>
    </row>
    <row r="79" customFormat="false" ht="15" hidden="false" customHeight="true" outlineLevel="0" collapsed="false">
      <c r="B79" s="4" t="s">
        <v>310</v>
      </c>
      <c r="C79" s="28" t="n">
        <v>0.85</v>
      </c>
      <c r="E79" s="3" t="s">
        <v>220</v>
      </c>
      <c r="F79" s="3" t="s">
        <v>311</v>
      </c>
    </row>
    <row r="80" customFormat="false" ht="15" hidden="false" customHeight="true" outlineLevel="0" collapsed="false">
      <c r="B80" s="4" t="s">
        <v>312</v>
      </c>
      <c r="C80" s="22" t="n">
        <v>1</v>
      </c>
      <c r="E80" s="3" t="s">
        <v>238</v>
      </c>
      <c r="F80" s="3" t="s">
        <v>313</v>
      </c>
    </row>
    <row r="81" customFormat="false" ht="15" hidden="false" customHeight="true" outlineLevel="0" collapsed="false">
      <c r="B81" s="4" t="s">
        <v>314</v>
      </c>
      <c r="C81" s="18" t="n">
        <v>0.12</v>
      </c>
      <c r="E81" s="3" t="s">
        <v>196</v>
      </c>
      <c r="F81" s="3" t="s">
        <v>294</v>
      </c>
    </row>
    <row r="82" customFormat="false" ht="15" hidden="false" customHeight="true" outlineLevel="0" collapsed="false">
      <c r="B82" s="4" t="s">
        <v>315</v>
      </c>
      <c r="C82" s="23" t="n">
        <v>2039</v>
      </c>
      <c r="E82" s="3" t="s">
        <v>174</v>
      </c>
      <c r="F82" s="3" t="s">
        <v>316</v>
      </c>
    </row>
    <row r="83" customFormat="false" ht="15" hidden="false" customHeight="true" outlineLevel="0" collapsed="false">
      <c r="B83" s="4" t="s">
        <v>317</v>
      </c>
      <c r="C83" s="18" t="n">
        <v>0.15</v>
      </c>
      <c r="E83" s="3" t="s">
        <v>196</v>
      </c>
      <c r="F83" s="3" t="s">
        <v>318</v>
      </c>
    </row>
    <row r="84" customFormat="false" ht="15" hidden="false" customHeight="true" outlineLevel="0" collapsed="false">
      <c r="B84" s="4" t="s">
        <v>319</v>
      </c>
      <c r="C84" s="18" t="n">
        <v>0.2</v>
      </c>
      <c r="E84" s="3" t="s">
        <v>220</v>
      </c>
      <c r="F84" s="3" t="s">
        <v>320</v>
      </c>
    </row>
    <row r="85" customFormat="false" ht="15" hidden="false" customHeight="true" outlineLevel="0" collapsed="false">
      <c r="B85" s="4" t="s">
        <v>321</v>
      </c>
      <c r="C85" s="25" t="n">
        <v>0.25168</v>
      </c>
      <c r="E85" s="3" t="s">
        <v>220</v>
      </c>
      <c r="F85" s="3" t="s">
        <v>322</v>
      </c>
    </row>
    <row r="86" customFormat="false" ht="15" hidden="false" customHeight="true" outlineLevel="0" collapsed="false">
      <c r="B86" s="4" t="s">
        <v>323</v>
      </c>
      <c r="C86" s="18" t="n">
        <v>0.15</v>
      </c>
      <c r="E86" s="3" t="s">
        <v>220</v>
      </c>
      <c r="F86" s="3" t="s">
        <v>324</v>
      </c>
    </row>
    <row r="87" customFormat="false" ht="15" hidden="false" customHeight="true" outlineLevel="0" collapsed="false">
      <c r="B87" s="4" t="s">
        <v>325</v>
      </c>
      <c r="C87" s="23" t="n">
        <v>2039</v>
      </c>
      <c r="E87" s="3" t="s">
        <v>174</v>
      </c>
      <c r="F87" s="3" t="s">
        <v>326</v>
      </c>
    </row>
    <row r="88" customFormat="false" ht="15" hidden="false" customHeight="true" outlineLevel="0" collapsed="false">
      <c r="B88" s="4" t="s">
        <v>327</v>
      </c>
      <c r="C88" s="23" t="n">
        <v>2034</v>
      </c>
      <c r="E88" s="3" t="s">
        <v>174</v>
      </c>
      <c r="F88" s="3" t="s">
        <v>328</v>
      </c>
    </row>
    <row r="89" customFormat="false" ht="15" hidden="false" customHeight="true" outlineLevel="0" collapsed="false">
      <c r="B89" s="4" t="s">
        <v>329</v>
      </c>
      <c r="C89" s="28" t="n">
        <v>0.13</v>
      </c>
      <c r="E89" s="3" t="s">
        <v>220</v>
      </c>
      <c r="F89" s="3" t="s">
        <v>330</v>
      </c>
    </row>
    <row r="90" customFormat="false" ht="15" hidden="false" customHeight="true" outlineLevel="0" collapsed="false">
      <c r="B90" s="4" t="s">
        <v>331</v>
      </c>
      <c r="C90" s="18" t="n">
        <v>0.02</v>
      </c>
      <c r="E90" s="3" t="s">
        <v>332</v>
      </c>
      <c r="F90" s="3" t="s">
        <v>320</v>
      </c>
    </row>
    <row r="91" customFormat="false" ht="15" hidden="false" customHeight="true" outlineLevel="0" collapsed="false">
      <c r="B91" s="4" t="s">
        <v>333</v>
      </c>
      <c r="C91" s="18" t="n">
        <v>0.125</v>
      </c>
      <c r="E91" s="3" t="s">
        <v>220</v>
      </c>
      <c r="F91" s="3" t="s">
        <v>334</v>
      </c>
    </row>
    <row r="92" customFormat="false" ht="15" hidden="false" customHeight="true" outlineLevel="0" collapsed="false">
      <c r="B92" s="4" t="s">
        <v>335</v>
      </c>
      <c r="C92" s="26" t="n">
        <v>0</v>
      </c>
      <c r="E92" s="3" t="s">
        <v>297</v>
      </c>
      <c r="F92" s="3" t="s">
        <v>336</v>
      </c>
    </row>
    <row r="93" customFormat="false" ht="15" hidden="false" customHeight="true" outlineLevel="0" collapsed="false">
      <c r="B93" s="4" t="s">
        <v>337</v>
      </c>
      <c r="C93" s="35" t="n">
        <v>2028</v>
      </c>
      <c r="E93" s="3" t="s">
        <v>174</v>
      </c>
      <c r="F93" s="3" t="s">
        <v>338</v>
      </c>
    </row>
    <row r="94" customFormat="false" ht="15" hidden="false" customHeight="true" outlineLevel="0" collapsed="false">
      <c r="B94" s="4" t="s">
        <v>339</v>
      </c>
      <c r="C94" s="28" t="n">
        <v>0.12</v>
      </c>
      <c r="E94" s="3" t="s">
        <v>196</v>
      </c>
      <c r="F94" s="3" t="s">
        <v>340</v>
      </c>
    </row>
    <row r="95" customFormat="false" ht="15" hidden="false" customHeight="true" outlineLevel="0" collapsed="false">
      <c r="B95" s="4" t="s">
        <v>341</v>
      </c>
      <c r="C95" s="29" t="n">
        <v>1.25</v>
      </c>
      <c r="E95" s="3" t="s">
        <v>225</v>
      </c>
      <c r="F95" s="3" t="s">
        <v>342</v>
      </c>
    </row>
    <row r="96" customFormat="false" ht="15" hidden="false" customHeight="true" outlineLevel="0" collapsed="false">
      <c r="B96" s="4" t="s">
        <v>343</v>
      </c>
      <c r="C96" s="23" t="n">
        <v>2033</v>
      </c>
      <c r="E96" s="3" t="s">
        <v>174</v>
      </c>
      <c r="F96" s="3" t="s">
        <v>344</v>
      </c>
    </row>
    <row r="97" customFormat="false" ht="15" hidden="false" customHeight="true" outlineLevel="0" collapsed="false">
      <c r="B97" s="4" t="s">
        <v>345</v>
      </c>
      <c r="C97" s="23" t="n">
        <v>2037</v>
      </c>
      <c r="E97" s="3" t="s">
        <v>174</v>
      </c>
      <c r="F97" s="3" t="s">
        <v>346</v>
      </c>
    </row>
    <row r="98" customFormat="false" ht="15" hidden="false" customHeight="true" outlineLevel="0" collapsed="false">
      <c r="B98" s="4" t="s">
        <v>347</v>
      </c>
      <c r="C98" s="28" t="n">
        <v>0</v>
      </c>
      <c r="E98" s="3" t="s">
        <v>220</v>
      </c>
      <c r="F98" s="3" t="s">
        <v>348</v>
      </c>
    </row>
    <row r="99" customFormat="false" ht="15" hidden="false" customHeight="true" outlineLevel="0" collapsed="false">
      <c r="B99" s="4" t="s">
        <v>349</v>
      </c>
      <c r="C99" s="27" t="n">
        <v>10</v>
      </c>
      <c r="E99" s="3" t="s">
        <v>180</v>
      </c>
      <c r="F99" s="3" t="s">
        <v>350</v>
      </c>
    </row>
    <row r="100" customFormat="false" ht="15" hidden="false" customHeight="true" outlineLevel="0" collapsed="false">
      <c r="B100" s="4" t="s">
        <v>351</v>
      </c>
      <c r="C100" s="22" t="n">
        <v>0</v>
      </c>
      <c r="E100" s="3" t="s">
        <v>238</v>
      </c>
      <c r="F100" s="3" t="s">
        <v>352</v>
      </c>
    </row>
    <row r="101" customFormat="false" ht="15" hidden="false" customHeight="true" outlineLevel="0" collapsed="false">
      <c r="B101" s="4" t="s">
        <v>353</v>
      </c>
      <c r="C101" s="28" t="n">
        <v>0.39</v>
      </c>
      <c r="E101" s="3" t="s">
        <v>220</v>
      </c>
      <c r="F101" s="3" t="s">
        <v>354</v>
      </c>
    </row>
    <row r="102" customFormat="false" ht="15" hidden="false" customHeight="true" outlineLevel="0" collapsed="false">
      <c r="B102" s="4" t="s">
        <v>355</v>
      </c>
      <c r="C102" s="18" t="n">
        <v>0.065</v>
      </c>
      <c r="E102" s="3" t="s">
        <v>196</v>
      </c>
      <c r="F102" s="3" t="s">
        <v>294</v>
      </c>
    </row>
    <row r="103" customFormat="false" ht="15" hidden="false" customHeight="true" outlineLevel="0" collapsed="false">
      <c r="B103" s="4" t="s">
        <v>356</v>
      </c>
      <c r="C103" s="22" t="n">
        <v>1</v>
      </c>
      <c r="E103" s="3" t="s">
        <v>238</v>
      </c>
      <c r="F103" s="3" t="s">
        <v>357</v>
      </c>
    </row>
    <row r="104" customFormat="false" ht="15" hidden="false" customHeight="true" outlineLevel="0" collapsed="false">
      <c r="B104" s="4" t="s">
        <v>358</v>
      </c>
      <c r="C104" s="22" t="n">
        <v>0</v>
      </c>
      <c r="E104" s="3" t="s">
        <v>238</v>
      </c>
      <c r="F104" s="3" t="s">
        <v>359</v>
      </c>
    </row>
    <row r="105" customFormat="false" ht="15" hidden="false" customHeight="true" outlineLevel="0" collapsed="false">
      <c r="B105" s="4" t="s">
        <v>360</v>
      </c>
      <c r="C105" s="18" t="n">
        <v>0.3</v>
      </c>
      <c r="E105" s="3" t="s">
        <v>220</v>
      </c>
      <c r="F105" s="3" t="s">
        <v>361</v>
      </c>
    </row>
    <row r="106" customFormat="false" ht="15" hidden="false" customHeight="true" outlineLevel="0" collapsed="false">
      <c r="B106" s="4" t="s">
        <v>362</v>
      </c>
      <c r="C106" s="22" t="n">
        <v>1</v>
      </c>
      <c r="E106" s="3" t="s">
        <v>238</v>
      </c>
      <c r="F106" s="3" t="s">
        <v>363</v>
      </c>
    </row>
    <row r="107" customFormat="false" ht="15" hidden="false" customHeight="true" outlineLevel="0" collapsed="false">
      <c r="B107" s="4" t="s">
        <v>364</v>
      </c>
      <c r="C107" s="18" t="n">
        <v>0.01</v>
      </c>
      <c r="E107" s="3" t="s">
        <v>365</v>
      </c>
      <c r="F107" s="3" t="s">
        <v>366</v>
      </c>
    </row>
    <row r="108" customFormat="false" ht="15" hidden="false" customHeight="true" outlineLevel="0" collapsed="false">
      <c r="B108" s="4" t="s">
        <v>367</v>
      </c>
      <c r="C108" s="27" t="n">
        <v>2</v>
      </c>
      <c r="E108" s="3" t="s">
        <v>202</v>
      </c>
      <c r="F108" s="3" t="s">
        <v>294</v>
      </c>
    </row>
    <row r="109" customFormat="false" ht="15" hidden="false" customHeight="true" outlineLevel="0" collapsed="false">
      <c r="B109" s="4" t="s">
        <v>368</v>
      </c>
      <c r="C109" s="28" t="n">
        <v>0.25</v>
      </c>
      <c r="E109" s="3" t="s">
        <v>369</v>
      </c>
      <c r="F109" s="3" t="s">
        <v>370</v>
      </c>
    </row>
    <row r="110" customFormat="false" ht="15" hidden="false" customHeight="true" outlineLevel="0" collapsed="false">
      <c r="B110" s="4" t="s">
        <v>371</v>
      </c>
      <c r="C110" s="22" t="n">
        <v>0</v>
      </c>
      <c r="E110" s="3" t="s">
        <v>238</v>
      </c>
      <c r="F110" s="3" t="s">
        <v>372</v>
      </c>
    </row>
    <row r="111" customFormat="false" ht="15" hidden="false" customHeight="true" outlineLevel="0" collapsed="false">
      <c r="B111" s="4" t="s">
        <v>373</v>
      </c>
      <c r="C111" s="18" t="n">
        <v>0.25168</v>
      </c>
      <c r="E111" s="3" t="s">
        <v>220</v>
      </c>
      <c r="F111" s="3" t="s">
        <v>374</v>
      </c>
    </row>
    <row r="112" customFormat="false" ht="15" hidden="false" customHeight="true" outlineLevel="0" collapsed="false">
      <c r="B112" s="4" t="s">
        <v>375</v>
      </c>
      <c r="C112" s="36" t="n">
        <f aca="false">IF(C100=1,C99,'Construction Draws'!$C$38*12)</f>
        <v>5.5</v>
      </c>
      <c r="E112" s="3" t="s">
        <v>180</v>
      </c>
      <c r="F112" s="3"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8"/>
    <col collapsed="false" customWidth="true" hidden="false" outlineLevel="0" max="3" min="3" style="1" width="16"/>
    <col collapsed="false" customWidth="true" hidden="false" outlineLevel="0" max="14" min="4" style="1" width="10"/>
  </cols>
  <sheetData>
    <row r="1" customFormat="false" ht="17.25" hidden="false" customHeight="true" outlineLevel="0" collapsed="false">
      <c r="B1" s="2" t="s">
        <v>377</v>
      </c>
    </row>
    <row r="2" customFormat="false" ht="15" hidden="false" customHeight="true" outlineLevel="0" collapsed="false">
      <c r="B2" s="3" t="s">
        <v>378</v>
      </c>
    </row>
    <row r="4" customFormat="false" ht="15" hidden="false" customHeight="true" outlineLevel="0" collapsed="false">
      <c r="B4" s="21" t="s">
        <v>379</v>
      </c>
      <c r="C4" s="34"/>
      <c r="D4" s="34"/>
    </row>
    <row r="5" customFormat="false" ht="15" hidden="false" customHeight="true" outlineLevel="0" collapsed="false">
      <c r="B5" s="1" t="s">
        <v>380</v>
      </c>
      <c r="C5" s="7" t="n">
        <f aca="false">'Sources &amp; Uses'!$C$19</f>
        <v>53.5249528413889</v>
      </c>
    </row>
    <row r="6" customFormat="false" ht="15" hidden="false" customHeight="true" outlineLevel="0" collapsed="false">
      <c r="B6" s="1" t="s">
        <v>381</v>
      </c>
      <c r="C6" s="7" t="n">
        <f aca="false">'Sources &amp; Uses'!$C$27</f>
        <v>81.8249184462936</v>
      </c>
    </row>
    <row r="7" customFormat="false" ht="15" hidden="false" customHeight="true" outlineLevel="0" collapsed="false">
      <c r="B7" s="1" t="s">
        <v>29</v>
      </c>
      <c r="C7" s="8" t="n">
        <f aca="false">'Sources &amp; Uses'!$C$34</f>
        <v>0.654140008419568</v>
      </c>
    </row>
    <row r="8" customFormat="false" ht="15" hidden="false" customHeight="true" outlineLevel="0" collapsed="false">
      <c r="B8" s="1" t="s">
        <v>382</v>
      </c>
      <c r="C8" s="37" t="n">
        <f aca="false">Inputs!$C$51</f>
        <v>0.105</v>
      </c>
    </row>
    <row r="9" customFormat="false" ht="15" hidden="false" customHeight="true" outlineLevel="0" collapsed="false">
      <c r="B9" s="1" t="s">
        <v>383</v>
      </c>
      <c r="C9" s="6" t="n">
        <f aca="false">Inputs!$C$31</f>
        <v>10</v>
      </c>
    </row>
    <row r="10" customFormat="false" ht="15" hidden="false" customHeight="true" outlineLevel="0" collapsed="false">
      <c r="B10" s="1" t="s">
        <v>224</v>
      </c>
      <c r="C10" s="10" t="n">
        <f aca="false">Inputs!$C$29</f>
        <v>1.3</v>
      </c>
    </row>
    <row r="11" customFormat="false" ht="15" hidden="false" customHeight="true" outlineLevel="0" collapsed="false">
      <c r="B11" s="1" t="s">
        <v>384</v>
      </c>
      <c r="C11" s="9" t="str">
        <f aca="false">IF(Inputs!$C$38=2,"P90 lender case","P50 base case")</f>
        <v>P90 lender case</v>
      </c>
    </row>
    <row r="12" customFormat="false" ht="15" hidden="false" customHeight="true" outlineLevel="0" collapsed="false">
      <c r="B12" s="1" t="s">
        <v>30</v>
      </c>
      <c r="C12" s="9" t="str">
        <f aca="false">'Sources &amp; Uses'!$C$20</f>
        <v>DSCR, P90 case</v>
      </c>
    </row>
    <row r="13" customFormat="false" ht="15" hidden="false" customHeight="true" outlineLevel="0" collapsed="false">
      <c r="B13" s="1" t="s">
        <v>31</v>
      </c>
      <c r="C13" s="9" t="str">
        <f aca="false">'Sources &amp; Uses'!$C$25</f>
        <v>Debt first</v>
      </c>
    </row>
    <row r="14" customFormat="false" ht="15" hidden="false" customHeight="true" outlineLevel="0" collapsed="false">
      <c r="B14" s="1" t="s">
        <v>385</v>
      </c>
      <c r="C14" s="7" t="n">
        <f aca="false">'Sources &amp; Uses'!$C$30</f>
        <v>28.2999656049047</v>
      </c>
    </row>
    <row r="16" customFormat="false" ht="15" hidden="false" customHeight="true" outlineLevel="0" collapsed="false">
      <c r="B16" s="21" t="s">
        <v>386</v>
      </c>
      <c r="C16" s="34"/>
      <c r="D16" s="34"/>
    </row>
    <row r="17" customFormat="false" ht="15" hidden="false" customHeight="true" outlineLevel="0" collapsed="false">
      <c r="B17" s="1" t="s">
        <v>37</v>
      </c>
      <c r="C17" s="38" t="n">
        <f aca="false">SPV3!D31</f>
        <v>1.40647828469058</v>
      </c>
    </row>
    <row r="18" customFormat="false" ht="15" hidden="false" customHeight="true" outlineLevel="0" collapsed="false">
      <c r="B18" s="1" t="s">
        <v>38</v>
      </c>
      <c r="C18" s="38" t="n">
        <f aca="false">SPV3!D32</f>
        <v>1.3</v>
      </c>
    </row>
    <row r="19" customFormat="false" ht="15" hidden="false" customHeight="true" outlineLevel="0" collapsed="false">
      <c r="B19" s="1" t="s">
        <v>387</v>
      </c>
      <c r="C19" s="38" t="n">
        <f aca="false">SPV3!D96</f>
        <v>1.40686515010054</v>
      </c>
    </row>
    <row r="20" customFormat="false" ht="15" hidden="false" customHeight="true" outlineLevel="0" collapsed="false">
      <c r="B20" s="1" t="s">
        <v>388</v>
      </c>
      <c r="C20" s="38" t="n">
        <f aca="false">SUMPRODUCT(SPV3!F16:AD16,SPV3!F20:AD20)/$C$5</f>
        <v>1.40679177198319</v>
      </c>
    </row>
    <row r="21" customFormat="false" ht="15" hidden="false" customHeight="true" outlineLevel="0" collapsed="false">
      <c r="B21" s="1" t="s">
        <v>389</v>
      </c>
      <c r="C21" s="38" t="n">
        <f aca="false">SUMPRODUCT(SPV3!F17:AD17,SPV3!F20:AD20)/$C$5</f>
        <v>1.3</v>
      </c>
    </row>
    <row r="22" customFormat="false" ht="15" hidden="false" customHeight="true" outlineLevel="0" collapsed="false">
      <c r="B22" s="1" t="s">
        <v>390</v>
      </c>
      <c r="C22" s="38" t="n">
        <f aca="false">NPV($C$8,SPV3!F16:AD16)/$C$5</f>
        <v>2.00264876858574</v>
      </c>
    </row>
    <row r="23" customFormat="false" ht="15" hidden="false" customHeight="true" outlineLevel="0" collapsed="false">
      <c r="B23" s="1" t="s">
        <v>391</v>
      </c>
      <c r="C23" s="39" t="n">
        <f aca="false">Inputs!$C$17-Inputs!$C$31</f>
        <v>15</v>
      </c>
    </row>
    <row r="25" customFormat="false" ht="15" hidden="false" customHeight="true" outlineLevel="0" collapsed="false">
      <c r="B25" s="21" t="s">
        <v>392</v>
      </c>
      <c r="C25" s="34"/>
      <c r="D25" s="34"/>
      <c r="E25" s="34"/>
      <c r="F25" s="34"/>
      <c r="G25" s="34"/>
      <c r="H25" s="34"/>
      <c r="I25" s="34"/>
      <c r="J25" s="34"/>
      <c r="K25" s="34"/>
      <c r="L25" s="34"/>
      <c r="M25" s="34"/>
      <c r="N25" s="34"/>
    </row>
    <row r="26" customFormat="false" ht="15" hidden="false" customHeight="true" outlineLevel="0" collapsed="false">
      <c r="B26" s="40" t="s">
        <v>393</v>
      </c>
      <c r="D26" s="41" t="n">
        <f aca="false">SPV3!F5</f>
        <v>1</v>
      </c>
      <c r="E26" s="41" t="n">
        <f aca="false">SPV3!G5</f>
        <v>2</v>
      </c>
      <c r="F26" s="41" t="n">
        <f aca="false">SPV3!H5</f>
        <v>3</v>
      </c>
      <c r="G26" s="41" t="n">
        <f aca="false">SPV3!I5</f>
        <v>4</v>
      </c>
      <c r="H26" s="41" t="n">
        <f aca="false">SPV3!J5</f>
        <v>5</v>
      </c>
      <c r="I26" s="41" t="n">
        <f aca="false">SPV3!K5</f>
        <v>6</v>
      </c>
      <c r="J26" s="41" t="n">
        <f aca="false">SPV3!L5</f>
        <v>7</v>
      </c>
      <c r="K26" s="41" t="n">
        <f aca="false">SPV3!M5</f>
        <v>8</v>
      </c>
      <c r="L26" s="41" t="n">
        <f aca="false">SPV3!N5</f>
        <v>9</v>
      </c>
      <c r="M26" s="41" t="n">
        <f aca="false">SPV3!O5</f>
        <v>10</v>
      </c>
    </row>
    <row r="27" customFormat="false" ht="15" hidden="false" customHeight="true" outlineLevel="0" collapsed="false">
      <c r="B27" s="1" t="s">
        <v>394</v>
      </c>
      <c r="D27" s="42" t="n">
        <f aca="false">SPV3!F6</f>
        <v>2029</v>
      </c>
      <c r="E27" s="42" t="n">
        <f aca="false">SPV3!G6</f>
        <v>2030</v>
      </c>
      <c r="F27" s="42" t="n">
        <f aca="false">SPV3!H6</f>
        <v>2031</v>
      </c>
      <c r="G27" s="42" t="n">
        <f aca="false">SPV3!I6</f>
        <v>2032</v>
      </c>
      <c r="H27" s="42" t="n">
        <f aca="false">SPV3!J6</f>
        <v>2033</v>
      </c>
      <c r="I27" s="42" t="n">
        <f aca="false">SPV3!K6</f>
        <v>2034</v>
      </c>
      <c r="J27" s="42" t="n">
        <f aca="false">SPV3!L6</f>
        <v>2035</v>
      </c>
      <c r="K27" s="42" t="n">
        <f aca="false">SPV3!M6</f>
        <v>2036</v>
      </c>
      <c r="L27" s="42" t="n">
        <f aca="false">SPV3!N6</f>
        <v>2037</v>
      </c>
      <c r="M27" s="42" t="n">
        <f aca="false">SPV3!O6</f>
        <v>2038</v>
      </c>
    </row>
    <row r="28" customFormat="false" ht="15" hidden="false" customHeight="true" outlineLevel="0" collapsed="false">
      <c r="B28" s="1" t="s">
        <v>395</v>
      </c>
      <c r="D28" s="7" t="n">
        <f aca="false">SPV3!F16</f>
        <v>12.7392</v>
      </c>
      <c r="E28" s="7" t="n">
        <f aca="false">SPV3!G16</f>
        <v>12.6789232</v>
      </c>
      <c r="F28" s="7" t="n">
        <f aca="false">SPV3!H16</f>
        <v>12.6188875072</v>
      </c>
      <c r="G28" s="7" t="n">
        <f aca="false">SPV3!I16</f>
        <v>12.5590919571712</v>
      </c>
      <c r="H28" s="7" t="n">
        <f aca="false">SPV3!J16</f>
        <v>12.4995355893425</v>
      </c>
      <c r="I28" s="7" t="n">
        <f aca="false">SPV3!K16</f>
        <v>12.4402174469851</v>
      </c>
      <c r="J28" s="7" t="n">
        <f aca="false">SPV3!L16</f>
        <v>12.3811365771972</v>
      </c>
      <c r="K28" s="7" t="n">
        <f aca="false">SPV3!M16</f>
        <v>12.3222920308884</v>
      </c>
      <c r="L28" s="7" t="n">
        <f aca="false">SPV3!N16</f>
        <v>12.2636828627649</v>
      </c>
      <c r="M28" s="7" t="n">
        <f aca="false">SPV3!O16</f>
        <v>12.2053081313138</v>
      </c>
    </row>
    <row r="29" customFormat="false" ht="15" hidden="false" customHeight="true" outlineLevel="0" collapsed="false">
      <c r="B29" s="1" t="s">
        <v>396</v>
      </c>
      <c r="D29" s="7" t="n">
        <f aca="false">SPV3!F17</f>
        <v>11.7747712</v>
      </c>
      <c r="E29" s="7" t="n">
        <f aca="false">SPV3!G17</f>
        <v>11.7183521152</v>
      </c>
      <c r="F29" s="7" t="n">
        <f aca="false">SPV3!H17</f>
        <v>11.6621587067392</v>
      </c>
      <c r="G29" s="7" t="n">
        <f aca="false">SPV3!I17</f>
        <v>11.6061900719122</v>
      </c>
      <c r="H29" s="7" t="n">
        <f aca="false">SPV3!J17</f>
        <v>11.5504453116246</v>
      </c>
      <c r="I29" s="7" t="n">
        <f aca="false">SPV3!K17</f>
        <v>11.4949235303781</v>
      </c>
      <c r="J29" s="7" t="n">
        <f aca="false">SPV3!L17</f>
        <v>11.4396238362566</v>
      </c>
      <c r="K29" s="7" t="n">
        <f aca="false">SPV3!M17</f>
        <v>11.3845453409116</v>
      </c>
      <c r="L29" s="7" t="n">
        <f aca="false">SPV3!N17</f>
        <v>11.3296871595479</v>
      </c>
      <c r="M29" s="7" t="n">
        <f aca="false">SPV3!O17</f>
        <v>11.2750484109097</v>
      </c>
    </row>
    <row r="30" customFormat="false" ht="15" hidden="false" customHeight="true" outlineLevel="0" collapsed="false">
      <c r="B30" s="1" t="s">
        <v>397</v>
      </c>
      <c r="D30" s="7" t="n">
        <f aca="false">SPV3!F30</f>
        <v>9.05751630769231</v>
      </c>
      <c r="E30" s="7" t="n">
        <f aca="false">SPV3!G30</f>
        <v>9.01411701169231</v>
      </c>
      <c r="F30" s="7" t="n">
        <f aca="false">SPV3!H30</f>
        <v>8.97089131287631</v>
      </c>
      <c r="G30" s="7" t="n">
        <f aca="false">SPV3!I30</f>
        <v>8.92783851685557</v>
      </c>
      <c r="H30" s="7" t="n">
        <f aca="false">SPV3!J30</f>
        <v>8.88495793201892</v>
      </c>
      <c r="I30" s="7" t="n">
        <f aca="false">SPV3!K30</f>
        <v>8.84224886952161</v>
      </c>
      <c r="J30" s="7" t="n">
        <f aca="false">SPV3!L30</f>
        <v>8.7997106432743</v>
      </c>
      <c r="K30" s="7" t="n">
        <f aca="false">SPV3!M30</f>
        <v>8.75734256993196</v>
      </c>
      <c r="L30" s="7" t="n">
        <f aca="false">SPV3!N30</f>
        <v>8.71514396888301</v>
      </c>
      <c r="M30" s="7" t="n">
        <f aca="false">SPV3!O30</f>
        <v>8.67311416223827</v>
      </c>
    </row>
    <row r="31" customFormat="false" ht="15" hidden="false" customHeight="true" outlineLevel="0" collapsed="false">
      <c r="B31" s="1" t="s">
        <v>398</v>
      </c>
      <c r="D31" s="10" t="n">
        <f aca="false">SPV3!F31</f>
        <v>1.40647828469058</v>
      </c>
      <c r="E31" s="10" t="n">
        <f aca="false">SPV3!G31</f>
        <v>1.40656297045557</v>
      </c>
      <c r="F31" s="10" t="n">
        <f aca="false">SPV3!H31</f>
        <v>1.40664813195179</v>
      </c>
      <c r="G31" s="10" t="n">
        <f aca="false">SPV3!I31</f>
        <v>1.40673377250943</v>
      </c>
      <c r="H31" s="10" t="n">
        <f aca="false">SPV3!J31</f>
        <v>1.40681989548849</v>
      </c>
      <c r="I31" s="10" t="n">
        <f aca="false">SPV3!K31</f>
        <v>1.40690650427918</v>
      </c>
      <c r="J31" s="10" t="n">
        <f aca="false">SPV3!L31</f>
        <v>1.40699360230217</v>
      </c>
      <c r="K31" s="10" t="n">
        <f aca="false">SPV3!M31</f>
        <v>1.40708119300901</v>
      </c>
      <c r="L31" s="10" t="n">
        <f aca="false">SPV3!N31</f>
        <v>1.40716927988244</v>
      </c>
      <c r="M31" s="10" t="n">
        <f aca="false">SPV3!O31</f>
        <v>1.40725786643675</v>
      </c>
    </row>
    <row r="32" customFormat="false" ht="15" hidden="false" customHeight="true" outlineLevel="0" collapsed="false">
      <c r="B32" s="1" t="s">
        <v>399</v>
      </c>
      <c r="D32" s="10" t="n">
        <f aca="false">SPV3!F32</f>
        <v>1.3</v>
      </c>
      <c r="E32" s="10" t="n">
        <f aca="false">SPV3!G32</f>
        <v>1.3</v>
      </c>
      <c r="F32" s="10" t="n">
        <f aca="false">SPV3!H32</f>
        <v>1.3</v>
      </c>
      <c r="G32" s="10" t="n">
        <f aca="false">SPV3!I32</f>
        <v>1.3</v>
      </c>
      <c r="H32" s="10" t="n">
        <f aca="false">SPV3!J32</f>
        <v>1.3</v>
      </c>
      <c r="I32" s="10" t="n">
        <f aca="false">SPV3!K32</f>
        <v>1.3</v>
      </c>
      <c r="J32" s="10" t="n">
        <f aca="false">SPV3!L32</f>
        <v>1.3</v>
      </c>
      <c r="K32" s="10" t="n">
        <f aca="false">SPV3!M32</f>
        <v>1.3</v>
      </c>
      <c r="L32" s="10" t="n">
        <f aca="false">SPV3!N32</f>
        <v>1.3</v>
      </c>
      <c r="M32" s="10" t="n">
        <f aca="false">SPV3!O32</f>
        <v>1.3</v>
      </c>
    </row>
    <row r="33" customFormat="false" ht="15" hidden="false" customHeight="true" outlineLevel="0" collapsed="false">
      <c r="B33" s="1" t="s">
        <v>400</v>
      </c>
      <c r="D33" s="7" t="n">
        <f aca="false">SPV3!F29</f>
        <v>50.0875565820424</v>
      </c>
      <c r="E33" s="7" t="n">
        <f aca="false">SPV3!G29</f>
        <v>46.3326330114646</v>
      </c>
      <c r="F33" s="7" t="n">
        <f aca="false">SPV3!H29</f>
        <v>42.2266681647921</v>
      </c>
      <c r="G33" s="7" t="n">
        <f aca="false">SPV3!I29</f>
        <v>37.7326298052397</v>
      </c>
      <c r="H33" s="7" t="n">
        <f aca="false">SPV3!J29</f>
        <v>32.8095980027709</v>
      </c>
      <c r="I33" s="7" t="n">
        <f aca="false">SPV3!K29</f>
        <v>27.4123569235403</v>
      </c>
      <c r="J33" s="7" t="n">
        <f aca="false">SPV3!L29</f>
        <v>21.4909437572377</v>
      </c>
      <c r="K33" s="7" t="n">
        <f aca="false">SPV3!M29</f>
        <v>14.9901502818157</v>
      </c>
      <c r="L33" s="7" t="n">
        <f aca="false">SPV3!N29</f>
        <v>7.84897209252332</v>
      </c>
      <c r="M33" s="7" t="n">
        <f aca="false">SPV3!O29</f>
        <v>0</v>
      </c>
    </row>
    <row r="35" customFormat="false" ht="15" hidden="false" customHeight="true" outlineLevel="0" collapsed="false">
      <c r="B35" s="21" t="s">
        <v>401</v>
      </c>
      <c r="C35" s="34"/>
      <c r="D35" s="34"/>
      <c r="E35" s="34"/>
      <c r="F35" s="34"/>
      <c r="G35" s="34"/>
      <c r="H35" s="34"/>
      <c r="I35" s="34"/>
      <c r="J35" s="34"/>
      <c r="K35" s="34"/>
      <c r="L35" s="34"/>
      <c r="M35" s="34"/>
      <c r="N35" s="34"/>
    </row>
    <row r="36" customFormat="false" ht="15" hidden="false" customHeight="true" outlineLevel="0" collapsed="false">
      <c r="B36" s="40" t="s">
        <v>402</v>
      </c>
      <c r="C36" s="40" t="s">
        <v>403</v>
      </c>
      <c r="D36" s="40" t="s">
        <v>404</v>
      </c>
      <c r="E36" s="40" t="s">
        <v>405</v>
      </c>
      <c r="F36" s="40" t="s">
        <v>406</v>
      </c>
      <c r="H36" s="40" t="s">
        <v>407</v>
      </c>
    </row>
    <row r="37" customFormat="false" ht="15" hidden="false" customHeight="true" outlineLevel="0" collapsed="false">
      <c r="B37" s="1" t="s">
        <v>408</v>
      </c>
      <c r="C37" s="43" t="n">
        <v>1</v>
      </c>
      <c r="D37" s="43" t="n">
        <v>1</v>
      </c>
      <c r="E37" s="43" t="n">
        <v>1</v>
      </c>
      <c r="F37" s="27" t="n">
        <v>0</v>
      </c>
      <c r="H37" s="44" t="n">
        <f aca="false">N46</f>
        <v>1.40647828469058</v>
      </c>
    </row>
    <row r="38" customFormat="false" ht="15" hidden="false" customHeight="true" outlineLevel="0" collapsed="false">
      <c r="B38" s="1" t="s">
        <v>409</v>
      </c>
      <c r="C38" s="45" t="n">
        <f aca="false">1-Inputs!$C$39</f>
        <v>0.936</v>
      </c>
      <c r="D38" s="43" t="n">
        <v>1</v>
      </c>
      <c r="E38" s="43" t="n">
        <v>1</v>
      </c>
      <c r="F38" s="27" t="n">
        <v>0</v>
      </c>
      <c r="H38" s="44" t="n">
        <f aca="false">N47</f>
        <v>1.3</v>
      </c>
    </row>
    <row r="39" customFormat="false" ht="15" hidden="false" customHeight="true" outlineLevel="0" collapsed="false">
      <c r="B39" s="1" t="s">
        <v>127</v>
      </c>
      <c r="C39" s="43" t="n">
        <v>1</v>
      </c>
      <c r="D39" s="43" t="n">
        <v>0.95</v>
      </c>
      <c r="E39" s="43" t="n">
        <v>1</v>
      </c>
      <c r="F39" s="27" t="n">
        <v>0</v>
      </c>
      <c r="H39" s="44" t="n">
        <f aca="false">N48</f>
        <v>1.32329212477606</v>
      </c>
    </row>
    <row r="40" customFormat="false" ht="15" hidden="false" customHeight="true" outlineLevel="0" collapsed="false">
      <c r="B40" s="1" t="s">
        <v>410</v>
      </c>
      <c r="C40" s="43" t="n">
        <v>1</v>
      </c>
      <c r="D40" s="43" t="n">
        <v>1</v>
      </c>
      <c r="E40" s="43" t="n">
        <v>1.1</v>
      </c>
      <c r="F40" s="27" t="n">
        <v>0</v>
      </c>
      <c r="H40" s="44" t="n">
        <f aca="false">N49</f>
        <v>1.380393236773</v>
      </c>
    </row>
    <row r="41" customFormat="false" ht="15" hidden="false" customHeight="true" outlineLevel="0" collapsed="false">
      <c r="B41" s="1" t="s">
        <v>411</v>
      </c>
      <c r="C41" s="43" t="n">
        <v>0.9</v>
      </c>
      <c r="D41" s="43" t="n">
        <v>1</v>
      </c>
      <c r="E41" s="43" t="n">
        <v>1</v>
      </c>
      <c r="F41" s="27" t="n">
        <v>0</v>
      </c>
      <c r="H41" s="44" t="n">
        <f aca="false">N50</f>
        <v>1.23966745012932</v>
      </c>
    </row>
    <row r="42" customFormat="false" ht="15" hidden="false" customHeight="true" outlineLevel="0" collapsed="false">
      <c r="B42" s="1" t="s">
        <v>412</v>
      </c>
      <c r="C42" s="43" t="n">
        <v>1</v>
      </c>
      <c r="D42" s="43" t="n">
        <v>1</v>
      </c>
      <c r="E42" s="43" t="n">
        <v>1</v>
      </c>
      <c r="F42" s="27" t="n">
        <v>100</v>
      </c>
      <c r="H42" s="44" t="n">
        <f aca="false">N51</f>
        <v>1.32800072655281</v>
      </c>
    </row>
    <row r="43" customFormat="false" ht="15" hidden="false" customHeight="true" outlineLevel="0" collapsed="false">
      <c r="B43" s="1" t="s">
        <v>413</v>
      </c>
      <c r="C43" s="45" t="n">
        <f aca="false">1-Inputs!$C$39</f>
        <v>0.936</v>
      </c>
      <c r="D43" s="43" t="n">
        <v>0.95</v>
      </c>
      <c r="E43" s="43" t="n">
        <v>1.1</v>
      </c>
      <c r="F43" s="27" t="n">
        <v>0</v>
      </c>
      <c r="H43" s="44" t="n">
        <f aca="false">N52</f>
        <v>1.19470305550436</v>
      </c>
    </row>
    <row r="45" customFormat="false" ht="15" hidden="false" customHeight="true" outlineLevel="0" collapsed="false">
      <c r="B45" s="40" t="s">
        <v>414</v>
      </c>
      <c r="D45" s="41" t="n">
        <f aca="false">SPV3!F5</f>
        <v>1</v>
      </c>
      <c r="E45" s="41" t="n">
        <f aca="false">SPV3!G5</f>
        <v>2</v>
      </c>
      <c r="F45" s="41" t="n">
        <f aca="false">SPV3!H5</f>
        <v>3</v>
      </c>
      <c r="G45" s="41" t="n">
        <f aca="false">SPV3!I5</f>
        <v>4</v>
      </c>
      <c r="H45" s="41" t="n">
        <f aca="false">SPV3!J5</f>
        <v>5</v>
      </c>
      <c r="I45" s="41" t="n">
        <f aca="false">SPV3!K5</f>
        <v>6</v>
      </c>
      <c r="J45" s="41" t="n">
        <f aca="false">SPV3!L5</f>
        <v>7</v>
      </c>
      <c r="K45" s="41" t="n">
        <f aca="false">SPV3!M5</f>
        <v>8</v>
      </c>
      <c r="L45" s="41" t="n">
        <f aca="false">SPV3!N5</f>
        <v>9</v>
      </c>
      <c r="M45" s="41" t="n">
        <f aca="false">SPV3!O5</f>
        <v>10</v>
      </c>
      <c r="N45" s="40" t="s">
        <v>415</v>
      </c>
    </row>
    <row r="46" customFormat="false" ht="15" hidden="false" customHeight="true" outlineLevel="0" collapsed="false">
      <c r="B46" s="1" t="str">
        <f aca="false">B37</f>
        <v>P50 base</v>
      </c>
      <c r="D46" s="38" t="n">
        <f aca="false">IF(SPV3!F30=0,"",(SPV3!F13*$C$37*$D$37-SPV3!F15*$E$37)/(SPV3!F30+SPV3!F25*$F$37/10000))</f>
        <v>1.40647828469058</v>
      </c>
      <c r="E46" s="38" t="n">
        <f aca="false">IF(SPV3!G30=0,"",(SPV3!G13*$C$37*$D$37-SPV3!G15*$E$37)/(SPV3!G30+SPV3!G25*$F$37/10000))</f>
        <v>1.40656297045557</v>
      </c>
      <c r="F46" s="38" t="n">
        <f aca="false">IF(SPV3!H30=0,"",(SPV3!H13*$C$37*$D$37-SPV3!H15*$E$37)/(SPV3!H30+SPV3!H25*$F$37/10000))</f>
        <v>1.40664813195179</v>
      </c>
      <c r="G46" s="38" t="n">
        <f aca="false">IF(SPV3!I30=0,"",(SPV3!I13*$C$37*$D$37-SPV3!I15*$E$37)/(SPV3!I30+SPV3!I25*$F$37/10000))</f>
        <v>1.40673377250943</v>
      </c>
      <c r="H46" s="38" t="n">
        <f aca="false">IF(SPV3!J30=0,"",(SPV3!J13*$C$37*$D$37-SPV3!J15*$E$37)/(SPV3!J30+SPV3!J25*$F$37/10000))</f>
        <v>1.40681989548849</v>
      </c>
      <c r="I46" s="38" t="n">
        <f aca="false">IF(SPV3!K30=0,"",(SPV3!K13*$C$37*$D$37-SPV3!K15*$E$37)/(SPV3!K30+SPV3!K25*$F$37/10000))</f>
        <v>1.40690650427918</v>
      </c>
      <c r="J46" s="38" t="n">
        <f aca="false">IF(SPV3!L30=0,"",(SPV3!L13*$C$37*$D$37-SPV3!L15*$E$37)/(SPV3!L30+SPV3!L25*$F$37/10000))</f>
        <v>1.40699360230217</v>
      </c>
      <c r="K46" s="38" t="n">
        <f aca="false">IF(SPV3!M30=0,"",(SPV3!M13*$C$37*$D$37-SPV3!M15*$E$37)/(SPV3!M30+SPV3!M25*$F$37/10000))</f>
        <v>1.40708119300901</v>
      </c>
      <c r="L46" s="38" t="n">
        <f aca="false">IF(SPV3!N30=0,"",(SPV3!N13*$C$37*$D$37-SPV3!N15*$E$37)/(SPV3!N30+SPV3!N25*$F$37/10000))</f>
        <v>1.40716927988244</v>
      </c>
      <c r="M46" s="38" t="n">
        <f aca="false">IF(SPV3!O30=0,"",(SPV3!O13*$C$37*$D$37-SPV3!O15*$E$37)/(SPV3!O30+SPV3!O25*$F$37/10000))</f>
        <v>1.40725786643675</v>
      </c>
      <c r="N46" s="44" t="n">
        <f aca="false">MIN(D46:M46)</f>
        <v>1.40647828469058</v>
      </c>
    </row>
    <row r="47" customFormat="false" ht="15" hidden="false" customHeight="true" outlineLevel="0" collapsed="false">
      <c r="B47" s="1" t="str">
        <f aca="false">B38</f>
        <v>P90 yield</v>
      </c>
      <c r="D47" s="38" t="n">
        <f aca="false">IF(SPV3!F30=0,"",(SPV3!F13*$C$38*$D$38-SPV3!F15*$E$38)/(SPV3!F30+SPV3!F25*$F$38/10000))</f>
        <v>1.3</v>
      </c>
      <c r="E47" s="38" t="n">
        <f aca="false">IF(SPV3!G30=0,"",(SPV3!G13*$C$38*$D$38-SPV3!G15*$E$38)/(SPV3!G30+SPV3!G25*$F$38/10000))</f>
        <v>1.3</v>
      </c>
      <c r="F47" s="38" t="n">
        <f aca="false">IF(SPV3!H30=0,"",(SPV3!H13*$C$38*$D$38-SPV3!H15*$E$38)/(SPV3!H30+SPV3!H25*$F$38/10000))</f>
        <v>1.3</v>
      </c>
      <c r="G47" s="38" t="n">
        <f aca="false">IF(SPV3!I30=0,"",(SPV3!I13*$C$38*$D$38-SPV3!I15*$E$38)/(SPV3!I30+SPV3!I25*$F$38/10000))</f>
        <v>1.3</v>
      </c>
      <c r="H47" s="38" t="n">
        <f aca="false">IF(SPV3!J30=0,"",(SPV3!J13*$C$38*$D$38-SPV3!J15*$E$38)/(SPV3!J30+SPV3!J25*$F$38/10000))</f>
        <v>1.3</v>
      </c>
      <c r="I47" s="38" t="n">
        <f aca="false">IF(SPV3!K30=0,"",(SPV3!K13*$C$38*$D$38-SPV3!K15*$E$38)/(SPV3!K30+SPV3!K25*$F$38/10000))</f>
        <v>1.3</v>
      </c>
      <c r="J47" s="38" t="n">
        <f aca="false">IF(SPV3!L30=0,"",(SPV3!L13*$C$38*$D$38-SPV3!L15*$E$38)/(SPV3!L30+SPV3!L25*$F$38/10000))</f>
        <v>1.3</v>
      </c>
      <c r="K47" s="38" t="n">
        <f aca="false">IF(SPV3!M30=0,"",(SPV3!M13*$C$38*$D$38-SPV3!M15*$E$38)/(SPV3!M30+SPV3!M25*$F$38/10000))</f>
        <v>1.3</v>
      </c>
      <c r="L47" s="38" t="n">
        <f aca="false">IF(SPV3!N30=0,"",(SPV3!N13*$C$38*$D$38-SPV3!N15*$E$38)/(SPV3!N30+SPV3!N25*$F$38/10000))</f>
        <v>1.3</v>
      </c>
      <c r="M47" s="38" t="n">
        <f aca="false">IF(SPV3!O30=0,"",(SPV3!O13*$C$38*$D$38-SPV3!O15*$E$38)/(SPV3!O30+SPV3!O25*$F$38/10000))</f>
        <v>1.3</v>
      </c>
      <c r="N47" s="44" t="n">
        <f aca="false">MIN(D47:M47)</f>
        <v>1.3</v>
      </c>
    </row>
    <row r="48" customFormat="false" ht="15" hidden="false" customHeight="true" outlineLevel="0" collapsed="false">
      <c r="B48" s="1" t="str">
        <f aca="false">B39</f>
        <v>Tariff −5%</v>
      </c>
      <c r="D48" s="38" t="n">
        <f aca="false">IF(SPV3!F30=0,"",(SPV3!F13*$C$39*$D$39-SPV3!F15*$E$39)/(SPV3!F30+SPV3!F25*$F$39/10000))</f>
        <v>1.32329212477606</v>
      </c>
      <c r="E48" s="38" t="n">
        <f aca="false">IF(SPV3!G30=0,"",(SPV3!G13*$C$39*$D$39-SPV3!G15*$E$39)/(SPV3!G30+SPV3!G25*$F$39/10000))</f>
        <v>1.32331064978716</v>
      </c>
      <c r="F48" s="38" t="n">
        <f aca="false">IF(SPV3!H30=0,"",(SPV3!H13*$C$39*$D$39-SPV3!H15*$E$39)/(SPV3!H30+SPV3!H25*$F$39/10000))</f>
        <v>1.32332927886445</v>
      </c>
      <c r="G48" s="38" t="n">
        <f aca="false">IF(SPV3!I30=0,"",(SPV3!I13*$C$39*$D$39-SPV3!I15*$E$39)/(SPV3!I30+SPV3!I25*$F$39/10000))</f>
        <v>1.32334801273644</v>
      </c>
      <c r="H48" s="38" t="n">
        <f aca="false">IF(SPV3!J30=0,"",(SPV3!J13*$C$39*$D$39-SPV3!J15*$E$39)/(SPV3!J30+SPV3!J25*$F$39/10000))</f>
        <v>1.32336685213811</v>
      </c>
      <c r="I48" s="38" t="n">
        <f aca="false">IF(SPV3!K30=0,"",(SPV3!K13*$C$39*$D$39-SPV3!K15*$E$39)/(SPV3!K30+SPV3!K25*$F$39/10000))</f>
        <v>1.32338579781107</v>
      </c>
      <c r="J48" s="38" t="n">
        <f aca="false">IF(SPV3!L30=0,"",(SPV3!L13*$C$39*$D$39-SPV3!L15*$E$39)/(SPV3!L30+SPV3!L25*$F$39/10000))</f>
        <v>1.3234048505036</v>
      </c>
      <c r="K48" s="38" t="n">
        <f aca="false">IF(SPV3!M30=0,"",(SPV3!M13*$C$39*$D$39-SPV3!M15*$E$39)/(SPV3!M30+SPV3!M25*$F$39/10000))</f>
        <v>1.32342401097072</v>
      </c>
      <c r="L48" s="38" t="n">
        <f aca="false">IF(SPV3!N30=0,"",(SPV3!N13*$C$39*$D$39-SPV3!N15*$E$39)/(SPV3!N30+SPV3!N25*$F$39/10000))</f>
        <v>1.32344327997428</v>
      </c>
      <c r="M48" s="38" t="n">
        <f aca="false">IF(SPV3!O30=0,"",(SPV3!O13*$C$39*$D$39-SPV3!O15*$E$39)/(SPV3!O30+SPV3!O25*$F$39/10000))</f>
        <v>1.32346265828304</v>
      </c>
      <c r="N48" s="44" t="n">
        <f aca="false">MIN(D48:M48)</f>
        <v>1.32329212477606</v>
      </c>
    </row>
    <row r="49" customFormat="false" ht="15" hidden="false" customHeight="true" outlineLevel="0" collapsed="false">
      <c r="B49" s="1" t="str">
        <f aca="false">B40</f>
        <v>Opex +10%</v>
      </c>
      <c r="D49" s="38" t="n">
        <f aca="false">IF(SPV3!F30=0,"",(SPV3!F13*$C$40*$D$40-SPV3!F15*$E$40)/(SPV3!F30+SPV3!F25*$F$40/10000))</f>
        <v>1.38075379333061</v>
      </c>
      <c r="E49" s="38" t="n">
        <f aca="false">IF(SPV3!G30=0,"",(SPV3!G13*$C$40*$D$40-SPV3!G15*$E$40)/(SPV3!G30+SPV3!G25*$F$40/10000))</f>
        <v>1.3807146261643</v>
      </c>
      <c r="F49" s="38" t="n">
        <f aca="false">IF(SPV3!H30=0,"",(SPV3!H13*$C$40*$D$40-SPV3!H15*$E$40)/(SPV3!H30+SPV3!H25*$F$40/10000))</f>
        <v>1.3806752389723</v>
      </c>
      <c r="G49" s="38" t="n">
        <f aca="false">IF(SPV3!I30=0,"",(SPV3!I13*$C$40*$D$40-SPV3!I15*$E$40)/(SPV3!I30+SPV3!I25*$F$40/10000))</f>
        <v>1.38063563021439</v>
      </c>
      <c r="H49" s="38" t="n">
        <f aca="false">IF(SPV3!J30=0,"",(SPV3!J13*$C$40*$D$40-SPV3!J15*$E$40)/(SPV3!J30+SPV3!J25*$F$40/10000))</f>
        <v>1.38059579833657</v>
      </c>
      <c r="I49" s="38" t="n">
        <f aca="false">IF(SPV3!K30=0,"",(SPV3!K13*$C$40*$D$40-SPV3!K15*$E$40)/(SPV3!K30+SPV3!K25*$F$40/10000))</f>
        <v>1.38055574177088</v>
      </c>
      <c r="J49" s="38" t="n">
        <f aca="false">IF(SPV3!L30=0,"",(SPV3!L13*$C$40*$D$40-SPV3!L15*$E$40)/(SPV3!L30+SPV3!L25*$F$40/10000))</f>
        <v>1.38051545893525</v>
      </c>
      <c r="K49" s="38" t="n">
        <f aca="false">IF(SPV3!M30=0,"",(SPV3!M13*$C$40*$D$40-SPV3!M15*$E$40)/(SPV3!M30+SPV3!M25*$F$40/10000))</f>
        <v>1.38047494823334</v>
      </c>
      <c r="L49" s="38" t="n">
        <f aca="false">IF(SPV3!N30=0,"",(SPV3!N13*$C$40*$D$40-SPV3!N15*$E$40)/(SPV3!N30+SPV3!N25*$F$40/10000))</f>
        <v>1.38043420805437</v>
      </c>
      <c r="M49" s="38" t="n">
        <f aca="false">IF(SPV3!O30=0,"",(SPV3!O13*$C$40*$D$40-SPV3!O15*$E$40)/(SPV3!O30+SPV3!O25*$F$40/10000))</f>
        <v>1.380393236773</v>
      </c>
      <c r="N49" s="44" t="n">
        <f aca="false">MIN(D49:M49)</f>
        <v>1.380393236773</v>
      </c>
    </row>
    <row r="50" customFormat="false" ht="15" hidden="false" customHeight="true" outlineLevel="0" collapsed="false">
      <c r="B50" s="1" t="str">
        <f aca="false">B41</f>
        <v>One-year yield −10% (≈ P99)</v>
      </c>
      <c r="D50" s="38" t="n">
        <f aca="false">IF(SPV3!F30=0,"",(SPV3!F13*$C$41*$D$41-SPV3!F15*$E$41)/(SPV3!F30+SPV3!F25*$F$41/10000))</f>
        <v>1.24010596486155</v>
      </c>
      <c r="E50" s="38" t="n">
        <f aca="false">IF(SPV3!G30=0,"",(SPV3!G13*$C$41*$D$41-SPV3!G15*$E$41)/(SPV3!G30+SPV3!G25*$F$41/10000))</f>
        <v>1.24005832911874</v>
      </c>
      <c r="F50" s="38" t="n">
        <f aca="false">IF(SPV3!H30=0,"",(SPV3!H13*$C$41*$D$41-SPV3!H15*$E$41)/(SPV3!H30+SPV3!H25*$F$41/10000))</f>
        <v>1.24001042577712</v>
      </c>
      <c r="G50" s="38" t="n">
        <f aca="false">IF(SPV3!I30=0,"",(SPV3!I13*$C$41*$D$41-SPV3!I15*$E$41)/(SPV3!I30+SPV3!I25*$F$41/10000))</f>
        <v>1.23996225296345</v>
      </c>
      <c r="H50" s="38" t="n">
        <f aca="false">IF(SPV3!J30=0,"",(SPV3!J13*$C$41*$D$41-SPV3!J15*$E$41)/(SPV3!J30+SPV3!J25*$F$41/10000))</f>
        <v>1.23991380878772</v>
      </c>
      <c r="I50" s="38" t="n">
        <f aca="false">IF(SPV3!K30=0,"",(SPV3!K13*$C$41*$D$41-SPV3!K15*$E$41)/(SPV3!K30+SPV3!K25*$F$41/10000))</f>
        <v>1.23986509134296</v>
      </c>
      <c r="J50" s="38" t="n">
        <f aca="false">IF(SPV3!L30=0,"",(SPV3!L13*$C$41*$D$41-SPV3!L15*$E$41)/(SPV3!L30+SPV3!L25*$F$41/10000))</f>
        <v>1.23981609870503</v>
      </c>
      <c r="K50" s="38" t="n">
        <f aca="false">IF(SPV3!M30=0,"",(SPV3!M13*$C$41*$D$41-SPV3!M15*$E$41)/(SPV3!M30+SPV3!M25*$F$41/10000))</f>
        <v>1.23976682893244</v>
      </c>
      <c r="L50" s="38" t="n">
        <f aca="false">IF(SPV3!N30=0,"",(SPV3!N13*$C$41*$D$41-SPV3!N15*$E$41)/(SPV3!N30+SPV3!N25*$F$41/10000))</f>
        <v>1.23971728006613</v>
      </c>
      <c r="M50" s="38" t="n">
        <f aca="false">IF(SPV3!O30=0,"",(SPV3!O13*$C$41*$D$41-SPV3!O15*$E$41)/(SPV3!O30+SPV3!O25*$F$41/10000))</f>
        <v>1.23966745012932</v>
      </c>
      <c r="N50" s="44" t="n">
        <f aca="false">MIN(D50:M50)</f>
        <v>1.23966745012932</v>
      </c>
    </row>
    <row r="51" customFormat="false" ht="15" hidden="false" customHeight="true" outlineLevel="0" collapsed="false">
      <c r="B51" s="1" t="str">
        <f aca="false">B42</f>
        <v>Interest +100 bp</v>
      </c>
      <c r="D51" s="38" t="n">
        <f aca="false">IF(SPV3!F30=0,"",(SPV3!F13*$C$42*$D$42-SPV3!F15*$E$42)/(SPV3!F30+SPV3!F25*$F$42/10000))</f>
        <v>1.32800072655281</v>
      </c>
      <c r="E51" s="38" t="n">
        <f aca="false">IF(SPV3!G30=0,"",(SPV3!G13*$C$42*$D$42-SPV3!G15*$E$42)/(SPV3!G30+SPV3!G25*$F$42/10000))</f>
        <v>1.3325205560291</v>
      </c>
      <c r="F51" s="38" t="n">
        <f aca="false">IF(SPV3!H30=0,"",(SPV3!H13*$C$42*$D$42-SPV3!H15*$E$42)/(SPV3!H30+SPV3!H25*$F$42/10000))</f>
        <v>1.33756586764511</v>
      </c>
      <c r="G51" s="38" t="n">
        <f aca="false">IF(SPV3!I30=0,"",(SPV3!I13*$C$42*$D$42-SPV3!I15*$E$42)/(SPV3!I30+SPV3!I25*$F$42/10000))</f>
        <v>1.34320327852368</v>
      </c>
      <c r="H51" s="38" t="n">
        <f aca="false">IF(SPV3!J30=0,"",(SPV3!J13*$C$42*$D$42-SPV3!J15*$E$42)/(SPV3!J30+SPV3!J25*$F$42/10000))</f>
        <v>1.34950896332473</v>
      </c>
      <c r="I51" s="38" t="n">
        <f aca="false">IF(SPV3!K30=0,"",(SPV3!K13*$C$42*$D$42-SPV3!K15*$E$42)/(SPV3!K30+SPV3!K25*$F$42/10000))</f>
        <v>1.35657029818203</v>
      </c>
      <c r="J51" s="38" t="n">
        <f aca="false">IF(SPV3!L30=0,"",(SPV3!L13*$C$42*$D$42-SPV3!L15*$E$42)/(SPV3!L30+SPV3!L25*$F$42/10000))</f>
        <v>1.36448785455303</v>
      </c>
      <c r="K51" s="38" t="n">
        <f aca="false">IF(SPV3!M30=0,"",(SPV3!M13*$C$42*$D$42-SPV3!M15*$E$42)/(SPV3!M30+SPV3!M25*$F$42/10000))</f>
        <v>1.37337783430315</v>
      </c>
      <c r="L51" s="38" t="n">
        <f aca="false">IF(SPV3!N30=0,"",(SPV3!N13*$C$42*$D$42-SPV3!N15*$E$42)/(SPV3!N30+SPV3!N25*$F$42/10000))</f>
        <v>1.38337506580341</v>
      </c>
      <c r="M51" s="38" t="n">
        <f aca="false">IF(SPV3!O30=0,"",(SPV3!O13*$C$42*$D$42-SPV3!O15*$E$42)/(SPV3!O30+SPV3!O25*$F$42/10000))</f>
        <v>1.39463671965257</v>
      </c>
      <c r="N51" s="44" t="n">
        <f aca="false">MIN(D51:M51)</f>
        <v>1.32800072655281</v>
      </c>
    </row>
    <row r="52" customFormat="false" ht="15" hidden="false" customHeight="true" outlineLevel="0" collapsed="false">
      <c r="B52" s="1" t="str">
        <f aca="false">B43</f>
        <v>Combined: P90, tariff −5%, opex +10%</v>
      </c>
      <c r="D52" s="38" t="n">
        <f aca="false">IF(SPV3!F30=0,"",(SPV3!F13*$C$43*$D$43-SPV3!F15*$E$43)/(SPV3!F30+SPV3!F25*$F$43/10000))</f>
        <v>1.19641326296005</v>
      </c>
      <c r="E52" s="38" t="n">
        <f aca="false">IF(SPV3!G30=0,"",(SPV3!G13*$C$43*$D$43-SPV3!G15*$E$43)/(SPV3!G30+SPV3!G25*$F$43/10000))</f>
        <v>1.1962274835631</v>
      </c>
      <c r="F52" s="38" t="n">
        <f aca="false">IF(SPV3!H30=0,"",(SPV3!H13*$C$43*$D$43-SPV3!H15*$E$43)/(SPV3!H30+SPV3!H25*$F$43/10000))</f>
        <v>1.19604066053076</v>
      </c>
      <c r="G52" s="38" t="n">
        <f aca="false">IF(SPV3!I30=0,"",(SPV3!I13*$C$43*$D$43-SPV3!I15*$E$43)/(SPV3!I30+SPV3!I25*$F$43/10000))</f>
        <v>1.19585278655745</v>
      </c>
      <c r="H52" s="38" t="n">
        <f aca="false">IF(SPV3!J30=0,"",(SPV3!J13*$C$43*$D$43-SPV3!J15*$E$43)/(SPV3!J30+SPV3!J25*$F$43/10000))</f>
        <v>1.19566385427212</v>
      </c>
      <c r="I52" s="38" t="n">
        <f aca="false">IF(SPV3!K30=0,"",(SPV3!K13*$C$43*$D$43-SPV3!K15*$E$43)/(SPV3!K30+SPV3!K25*$F$43/10000))</f>
        <v>1.19547385623756</v>
      </c>
      <c r="J52" s="38" t="n">
        <f aca="false">IF(SPV3!L30=0,"",(SPV3!L13*$C$43*$D$43-SPV3!L15*$E$43)/(SPV3!L30+SPV3!L25*$F$43/10000))</f>
        <v>1.19528278494962</v>
      </c>
      <c r="K52" s="38" t="n">
        <f aca="false">IF(SPV3!M30=0,"",(SPV3!M13*$C$43*$D$43-SPV3!M15*$E$43)/(SPV3!M30+SPV3!M25*$F$43/10000))</f>
        <v>1.1950906328365</v>
      </c>
      <c r="L52" s="38" t="n">
        <f aca="false">IF(SPV3!N30=0,"",(SPV3!N13*$C$43*$D$43-SPV3!N15*$E$43)/(SPV3!N30+SPV3!N25*$F$43/10000))</f>
        <v>1.1948973922579</v>
      </c>
      <c r="M52" s="38" t="n">
        <f aca="false">IF(SPV3!O30=0,"",(SPV3!O13*$C$43*$D$43-SPV3!O15*$E$43)/(SPV3!O30+SPV3!O25*$F$43/10000))</f>
        <v>1.19470305550436</v>
      </c>
      <c r="N52" s="44" t="n">
        <f aca="false">MIN(D52:M52)</f>
        <v>1.19470305550436</v>
      </c>
    </row>
    <row r="54" customFormat="false" ht="15" hidden="false" customHeight="true" outlineLevel="0" collapsed="false">
      <c r="B54" s="1" t="s">
        <v>416</v>
      </c>
      <c r="D54" s="46" t="n">
        <f aca="false">IF(SPV3!F13=0,"",1-(SPV3!F30+SPV3!F15)/SPV3!F13)</f>
        <v>0.244318457005527</v>
      </c>
      <c r="E54" s="46" t="n">
        <f aca="false">IF(SPV3!G13=0,"",1-(SPV3!G30+SPV3!G15)/SPV3!G13)</f>
        <v>0.244175157636072</v>
      </c>
      <c r="F54" s="46" t="n">
        <f aca="false">IF(SPV3!H13=0,"",1-(SPV3!H30+SPV3!H15)/SPV3!H13)</f>
        <v>0.24403128276714</v>
      </c>
      <c r="G54" s="46" t="n">
        <f aca="false">IF(SPV3!I13=0,"",1-(SPV3!I30+SPV3!I15)/SPV3!I13)</f>
        <v>0.24388683008749</v>
      </c>
      <c r="H54" s="46" t="n">
        <f aca="false">IF(SPV3!J13=0,"",1-(SPV3!J30+SPV3!J15)/SPV3!J13)</f>
        <v>0.243741797276597</v>
      </c>
      <c r="I54" s="46" t="n">
        <f aca="false">IF(SPV3!K13=0,"",1-(SPV3!K30+SPV3!K15)/SPV3!K13)</f>
        <v>0.243596182004615</v>
      </c>
      <c r="J54" s="46" t="n">
        <f aca="false">IF(SPV3!L13=0,"",1-(SPV3!L30+SPV3!L15)/SPV3!L13)</f>
        <v>0.243449981932344</v>
      </c>
      <c r="K54" s="46" t="n">
        <f aca="false">IF(SPV3!M13=0,"",1-(SPV3!M30+SPV3!M15)/SPV3!M13)</f>
        <v>0.243303194711189</v>
      </c>
      <c r="L54" s="46" t="n">
        <f aca="false">IF(SPV3!N13=0,"",1-(SPV3!N30+SPV3!N15)/SPV3!N13)</f>
        <v>0.243155817983122</v>
      </c>
      <c r="M54" s="46" t="n">
        <f aca="false">IF(SPV3!O13=0,"",1-(SPV3!O30+SPV3!O15)/SPV3!O13)</f>
        <v>0.243007849380643</v>
      </c>
      <c r="N54" s="47" t="n">
        <f aca="false">MIN(D54:M54)</f>
        <v>0.243007849380643</v>
      </c>
    </row>
    <row r="56" customFormat="false" ht="15" hidden="false" customHeight="true" outlineLevel="0" collapsed="false">
      <c r="B56" s="21" t="s">
        <v>417</v>
      </c>
      <c r="C56" s="34"/>
      <c r="D56" s="34"/>
    </row>
    <row r="57" customFormat="false" ht="15" hidden="false" customHeight="true" outlineLevel="0" collapsed="false">
      <c r="B57" s="4" t="s">
        <v>418</v>
      </c>
      <c r="C57" s="12" t="n">
        <f aca="false">'Sources &amp; Uses'!$C$30</f>
        <v>28.2999656049047</v>
      </c>
    </row>
    <row r="58" customFormat="false" ht="15" hidden="false" customHeight="true" outlineLevel="0" collapsed="false">
      <c r="B58" s="4" t="s">
        <v>419</v>
      </c>
      <c r="C58" s="46" t="n">
        <f aca="false">Inputs!$C$109</f>
        <v>0.25</v>
      </c>
    </row>
    <row r="59" customFormat="false" ht="15" hidden="false" customHeight="true" outlineLevel="0" collapsed="false">
      <c r="B59" s="4" t="s">
        <v>420</v>
      </c>
      <c r="C59" s="12" t="n">
        <f aca="false">C57*C58</f>
        <v>7.07499140122617</v>
      </c>
    </row>
    <row r="60" customFormat="false" ht="15" hidden="false" customHeight="true" outlineLevel="0" collapsed="false">
      <c r="B60" s="4" t="s">
        <v>421</v>
      </c>
      <c r="C60" s="12" t="n">
        <f aca="false">'Sources &amp; Uses'!$C$37</f>
        <v>3.985</v>
      </c>
    </row>
    <row r="61" customFormat="false" ht="15" hidden="false" customHeight="true" outlineLevel="0" collapsed="false">
      <c r="B61" s="4" t="s">
        <v>422</v>
      </c>
      <c r="C61" s="12" t="n">
        <f aca="false">MAX(0,Inputs!$C$72+Inputs!$C$73-SUMIF(HoldCo!E5:AH5,"&lt;"&amp;Inputs!$C$7,HoldCo!E16:AH16))</f>
        <v>4.40875</v>
      </c>
    </row>
    <row r="62" customFormat="false" ht="15" hidden="false" customHeight="true" outlineLevel="0" collapsed="false">
      <c r="B62" s="4" t="s">
        <v>423</v>
      </c>
      <c r="C62" s="12" t="n">
        <f aca="false">IF(Inputs!$C$100=1,Inputs!$C$92,0)</f>
        <v>0</v>
      </c>
    </row>
    <row r="63" customFormat="false" ht="15" hidden="false" customHeight="true" outlineLevel="0" collapsed="false">
      <c r="B63" s="4" t="s">
        <v>424</v>
      </c>
      <c r="C63" s="12" t="n">
        <f aca="false">C60+C61+C62</f>
        <v>8.39375</v>
      </c>
    </row>
    <row r="64" customFormat="false" ht="15" hidden="false" customHeight="true" outlineLevel="0" collapsed="false">
      <c r="B64" s="40" t="s">
        <v>425</v>
      </c>
      <c r="C64" s="12" t="n">
        <f aca="false">C63-C59</f>
        <v>1.31875859877383</v>
      </c>
    </row>
    <row r="65" customFormat="false" ht="15" hidden="false" customHeight="true" outlineLevel="0" collapsed="false">
      <c r="B65" s="4" t="s">
        <v>426</v>
      </c>
      <c r="C65" s="12" t="n">
        <f aca="false">IF(Inputs!$C$100=0,Inputs!$C$92,0)</f>
        <v>0</v>
      </c>
    </row>
    <row r="66" customFormat="false" ht="15" hidden="false" customHeight="true" outlineLevel="0" collapsed="false">
      <c r="B66" s="40" t="s">
        <v>427</v>
      </c>
      <c r="C66" s="12" t="n">
        <f aca="false">MAX(0,C57-C63-C65)</f>
        <v>19.9062156049047</v>
      </c>
    </row>
    <row r="67" customFormat="false" ht="15" hidden="false" customHeight="true" outlineLevel="0" collapsed="false">
      <c r="B67" s="40" t="s">
        <v>428</v>
      </c>
      <c r="C67" s="1" t="str">
        <f aca="false">IF(C64&lt;0,"Upfront margin short",IF(C66&gt;0,"Upfront covered; rest still to commit","Margin covered"))</f>
        <v>Upfront covered; rest still to commit</v>
      </c>
    </row>
    <row r="69" customFormat="false" ht="15" hidden="false" customHeight="true" outlineLevel="0" collapsed="false">
      <c r="B69" s="3" t="s">
        <v>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46"/>
    <col collapsed="false" customWidth="true" hidden="false" outlineLevel="0" max="4" min="4" style="1" width="34"/>
    <col collapsed="false" customWidth="true" hidden="false" outlineLevel="0" max="5" min="5" style="1" width="18"/>
    <col collapsed="false" customWidth="true" hidden="false" outlineLevel="0" max="6" min="6" style="1" width="26"/>
    <col collapsed="false" customWidth="true" hidden="false" outlineLevel="0" max="7" min="7" style="1" width="22"/>
    <col collapsed="false" customWidth="true" hidden="false" outlineLevel="0" max="8" min="8" style="1" width="30"/>
  </cols>
  <sheetData>
    <row r="1" customFormat="false" ht="17.25" hidden="false" customHeight="true" outlineLevel="0" collapsed="false">
      <c r="B1" s="2" t="s">
        <v>430</v>
      </c>
    </row>
    <row r="2" customFormat="false" ht="15" hidden="false" customHeight="true" outlineLevel="0" collapsed="false">
      <c r="B2" s="3" t="s">
        <v>431</v>
      </c>
    </row>
    <row r="4" customFormat="false" ht="15" hidden="false" customHeight="true" outlineLevel="0" collapsed="false">
      <c r="B4" s="21" t="s">
        <v>432</v>
      </c>
      <c r="C4" s="34"/>
      <c r="D4" s="34"/>
      <c r="E4" s="34"/>
      <c r="F4" s="34"/>
    </row>
    <row r="5" customFormat="false" ht="15" hidden="false" customHeight="true" outlineLevel="0" collapsed="false">
      <c r="B5" s="48" t="s">
        <v>433</v>
      </c>
      <c r="C5" s="48" t="s">
        <v>434</v>
      </c>
      <c r="D5" s="48" t="s">
        <v>435</v>
      </c>
      <c r="E5" s="48" t="s">
        <v>436</v>
      </c>
      <c r="F5" s="48" t="s">
        <v>437</v>
      </c>
    </row>
    <row r="6" customFormat="false" ht="45.75" hidden="false" customHeight="true" outlineLevel="0" collapsed="false">
      <c r="B6" s="49" t="s">
        <v>438</v>
      </c>
      <c r="C6" s="50" t="str">
        <f aca="false">"₹"&amp;TEXT('Sources &amp; Uses'!$C$19,"0.0")&amp;" Cr loan, "&amp;TEXT('Sources &amp; Uses'!$C$34,"0%")&amp;" gearing, "&amp;Inputs!$C$31&amp;" years"</f>
        <v>₹53.5 Cr loan, 65% gearing, 10 years</v>
      </c>
      <c r="D6" s="50" t="s">
        <v>439</v>
      </c>
      <c r="E6" s="50" t="s">
        <v>440</v>
      </c>
      <c r="F6" s="50" t="s">
        <v>441</v>
      </c>
    </row>
    <row r="7" customFormat="false" ht="45.75" hidden="false" customHeight="true" outlineLevel="0" collapsed="false">
      <c r="B7" s="49" t="s">
        <v>442</v>
      </c>
      <c r="C7" s="50" t="str">
        <f aca="false">IF(Inputs!$C$92=0,"₹35 Cr HoldCo CCDs (switch on in Inputs)","₹"&amp;TEXT(Inputs!$C$92,"0.0")&amp;" Cr HoldCo CCDs, "&amp;TEXT(Inputs!$C$94,"0%")&amp;" cumulative coupon, COD liquidity window")</f>
        <v>₹35 Cr HoldCo CCDs (switch on in Inputs)</v>
      </c>
      <c r="D7" s="50" t="s">
        <v>443</v>
      </c>
      <c r="E7" s="50" t="s">
        <v>444</v>
      </c>
      <c r="F7" s="50" t="s">
        <v>445</v>
      </c>
    </row>
    <row r="8" customFormat="false" ht="45.75" hidden="false" customHeight="true" outlineLevel="0" collapsed="false">
      <c r="B8" s="49" t="s">
        <v>446</v>
      </c>
      <c r="C8" s="50" t="str">
        <f aca="false">"≈ ₹"&amp;TEXT(HoldCo!$D$39,"0")&amp;" Cr new money"&amp;IF(Inputs!$C$92=0,", plus an option to buy any HNI CCDs at COD",", plus an option to buy the HNI CCDs (≈ ₹"&amp;TEXT(HoldCo!$D$132,"0")&amp;" Cr for 100%)")</f>
        <v>≈ ₹90 Cr new money, plus an option to buy any HNI CCDs at COD</v>
      </c>
      <c r="D8" s="50" t="s">
        <v>447</v>
      </c>
      <c r="E8" s="50" t="s">
        <v>448</v>
      </c>
      <c r="F8" s="50" t="s">
        <v>449</v>
      </c>
    </row>
    <row r="9" customFormat="false" ht="45.75" hidden="false" customHeight="true" outlineLevel="0" collapsed="false">
      <c r="B9" s="49" t="s">
        <v>450</v>
      </c>
      <c r="C9" s="50" t="str">
        <f aca="false">"≈ ₹"&amp;TEXT('Sources &amp; Uses'!$D$19,"0")&amp;" Cr"</f>
        <v>≈ ₹107 Cr</v>
      </c>
      <c r="D9" s="50" t="s">
        <v>451</v>
      </c>
      <c r="E9" s="50" t="s">
        <v>452</v>
      </c>
      <c r="F9" s="50" t="s">
        <v>453</v>
      </c>
    </row>
    <row r="10" customFormat="false" ht="15" hidden="false" customHeight="true" outlineLevel="0" collapsed="false">
      <c r="B10" s="3" t="s">
        <v>454</v>
      </c>
    </row>
    <row r="12" customFormat="false" ht="15" hidden="false" customHeight="true" outlineLevel="0" collapsed="false">
      <c r="B12" s="21" t="s">
        <v>455</v>
      </c>
      <c r="C12" s="34"/>
      <c r="D12" s="34"/>
      <c r="E12" s="34"/>
      <c r="F12" s="34"/>
      <c r="G12" s="34"/>
      <c r="H12" s="34"/>
    </row>
    <row r="13" customFormat="false" ht="15" hidden="false" customHeight="true" outlineLevel="0" collapsed="false">
      <c r="B13" s="48" t="s">
        <v>456</v>
      </c>
      <c r="C13" s="48" t="s">
        <v>457</v>
      </c>
      <c r="D13" s="48" t="s">
        <v>458</v>
      </c>
      <c r="E13" s="48" t="s">
        <v>459</v>
      </c>
      <c r="F13" s="48" t="s">
        <v>460</v>
      </c>
      <c r="G13" s="48" t="s">
        <v>461</v>
      </c>
      <c r="H13" s="48" t="s">
        <v>462</v>
      </c>
    </row>
    <row r="14" customFormat="false" ht="45.75" hidden="false" customHeight="true" outlineLevel="0" collapsed="false">
      <c r="B14" s="49" t="s">
        <v>463</v>
      </c>
      <c r="C14" s="50" t="s">
        <v>464</v>
      </c>
      <c r="D14" s="50" t="s">
        <v>465</v>
      </c>
      <c r="E14" s="50" t="s">
        <v>466</v>
      </c>
      <c r="F14" s="50" t="s">
        <v>467</v>
      </c>
      <c r="G14" s="50" t="s">
        <v>468</v>
      </c>
      <c r="H14" s="50" t="s">
        <v>469</v>
      </c>
    </row>
    <row r="15" customFormat="false" ht="45.75" hidden="false" customHeight="true" outlineLevel="0" collapsed="false">
      <c r="B15" s="49" t="s">
        <v>470</v>
      </c>
      <c r="C15" s="50" t="s">
        <v>471</v>
      </c>
      <c r="D15" s="50" t="s">
        <v>472</v>
      </c>
      <c r="E15" s="50" t="s">
        <v>473</v>
      </c>
      <c r="F15" s="50" t="s">
        <v>474</v>
      </c>
      <c r="G15" s="50" t="s">
        <v>468</v>
      </c>
      <c r="H15" s="50" t="s">
        <v>475</v>
      </c>
    </row>
    <row r="16" customFormat="false" ht="45.75" hidden="false" customHeight="true" outlineLevel="0" collapsed="false">
      <c r="B16" s="49" t="s">
        <v>476</v>
      </c>
      <c r="C16" s="50" t="s">
        <v>477</v>
      </c>
      <c r="D16" s="50" t="s">
        <v>478</v>
      </c>
      <c r="E16" s="50" t="s">
        <v>479</v>
      </c>
      <c r="F16" s="50" t="s">
        <v>480</v>
      </c>
      <c r="G16" s="50" t="s">
        <v>481</v>
      </c>
      <c r="H16" s="50" t="s">
        <v>482</v>
      </c>
    </row>
    <row r="17" customFormat="false" ht="45.75" hidden="false" customHeight="true" outlineLevel="0" collapsed="false">
      <c r="B17" s="49" t="s">
        <v>483</v>
      </c>
      <c r="C17" s="50" t="s">
        <v>484</v>
      </c>
      <c r="D17" s="50" t="s">
        <v>485</v>
      </c>
      <c r="E17" s="50" t="s">
        <v>486</v>
      </c>
      <c r="F17" s="50" t="s">
        <v>487</v>
      </c>
      <c r="G17" s="50" t="s">
        <v>488</v>
      </c>
      <c r="H17" s="50" t="s">
        <v>489</v>
      </c>
    </row>
    <row r="18" customFormat="false" ht="45.75" hidden="false" customHeight="true" outlineLevel="0" collapsed="false">
      <c r="B18" s="49" t="s">
        <v>490</v>
      </c>
      <c r="C18" s="50" t="s">
        <v>491</v>
      </c>
      <c r="D18" s="50" t="s">
        <v>492</v>
      </c>
      <c r="E18" s="50" t="s">
        <v>466</v>
      </c>
      <c r="F18" s="50" t="s">
        <v>493</v>
      </c>
      <c r="G18" s="50" t="s">
        <v>494</v>
      </c>
      <c r="H18" s="50" t="s">
        <v>495</v>
      </c>
    </row>
    <row r="20" customFormat="false" ht="15" hidden="false" customHeight="true" outlineLevel="0" collapsed="false">
      <c r="B20" s="21" t="s">
        <v>496</v>
      </c>
      <c r="C20" s="34"/>
      <c r="D20" s="34"/>
      <c r="E20" s="34"/>
      <c r="F20" s="34"/>
      <c r="G20" s="34"/>
      <c r="H20" s="34"/>
    </row>
    <row r="21" customFormat="false" ht="15" hidden="false" customHeight="true" outlineLevel="0" collapsed="false">
      <c r="B21" s="48" t="s">
        <v>456</v>
      </c>
      <c r="C21" s="48" t="s">
        <v>457</v>
      </c>
      <c r="D21" s="48" t="s">
        <v>497</v>
      </c>
      <c r="E21" s="48" t="s">
        <v>498</v>
      </c>
      <c r="F21" s="48" t="s">
        <v>499</v>
      </c>
      <c r="G21" s="48" t="s">
        <v>500</v>
      </c>
      <c r="H21" s="48" t="s">
        <v>501</v>
      </c>
    </row>
    <row r="22" customFormat="false" ht="45.75" hidden="false" customHeight="true" outlineLevel="0" collapsed="false">
      <c r="B22" s="49" t="s">
        <v>502</v>
      </c>
      <c r="C22" s="50" t="s">
        <v>503</v>
      </c>
      <c r="D22" s="50" t="s">
        <v>504</v>
      </c>
      <c r="E22" s="50" t="s">
        <v>505</v>
      </c>
      <c r="F22" s="50" t="s">
        <v>506</v>
      </c>
      <c r="G22" s="50" t="s">
        <v>507</v>
      </c>
      <c r="H22" s="50" t="s">
        <v>508</v>
      </c>
    </row>
    <row r="23" customFormat="false" ht="45.75" hidden="false" customHeight="true" outlineLevel="0" collapsed="false">
      <c r="B23" s="49" t="s">
        <v>509</v>
      </c>
      <c r="C23" s="50" t="s">
        <v>510</v>
      </c>
      <c r="D23" s="50" t="s">
        <v>511</v>
      </c>
      <c r="E23" s="50" t="s">
        <v>512</v>
      </c>
      <c r="F23" s="50" t="s">
        <v>513</v>
      </c>
      <c r="G23" s="50" t="s">
        <v>514</v>
      </c>
      <c r="H23" s="50" t="s">
        <v>515</v>
      </c>
    </row>
    <row r="24" customFormat="false" ht="45.75" hidden="false" customHeight="true" outlineLevel="0" collapsed="false">
      <c r="B24" s="49" t="s">
        <v>516</v>
      </c>
      <c r="C24" s="50" t="s">
        <v>517</v>
      </c>
      <c r="D24" s="50" t="s">
        <v>518</v>
      </c>
      <c r="E24" s="50" t="s">
        <v>519</v>
      </c>
      <c r="F24" s="50" t="s">
        <v>493</v>
      </c>
      <c r="G24" s="50" t="s">
        <v>520</v>
      </c>
      <c r="H24" s="50" t="s">
        <v>521</v>
      </c>
    </row>
    <row r="25" customFormat="false" ht="45.75" hidden="false" customHeight="true" outlineLevel="0" collapsed="false">
      <c r="B25" s="49" t="s">
        <v>522</v>
      </c>
      <c r="C25" s="50" t="s">
        <v>523</v>
      </c>
      <c r="D25" s="50" t="s">
        <v>524</v>
      </c>
      <c r="E25" s="50" t="s">
        <v>525</v>
      </c>
      <c r="F25" s="50" t="s">
        <v>526</v>
      </c>
      <c r="G25" s="50" t="s">
        <v>527</v>
      </c>
      <c r="H25" s="50" t="s">
        <v>528</v>
      </c>
    </row>
    <row r="27" customFormat="false" ht="15" hidden="false" customHeight="true" outlineLevel="0" collapsed="false">
      <c r="B27" s="21" t="s">
        <v>529</v>
      </c>
      <c r="C27" s="34"/>
      <c r="D27" s="34"/>
      <c r="E27" s="34"/>
    </row>
    <row r="28" customFormat="false" ht="15" hidden="false" customHeight="true" outlineLevel="0" collapsed="false">
      <c r="B28" s="48"/>
      <c r="C28" s="48" t="s">
        <v>530</v>
      </c>
      <c r="D28" s="48" t="s">
        <v>531</v>
      </c>
      <c r="E28" s="48" t="s">
        <v>532</v>
      </c>
    </row>
    <row r="29" customFormat="false" ht="33.75" hidden="false" customHeight="true" outlineLevel="0" collapsed="false">
      <c r="B29" s="49" t="s">
        <v>533</v>
      </c>
      <c r="C29" s="51" t="s">
        <v>534</v>
      </c>
      <c r="D29" s="50" t="s">
        <v>535</v>
      </c>
      <c r="E29" s="50" t="s">
        <v>536</v>
      </c>
    </row>
    <row r="30" customFormat="false" ht="33.75" hidden="false" customHeight="true" outlineLevel="0" collapsed="false">
      <c r="B30" s="49" t="s">
        <v>537</v>
      </c>
      <c r="C30" s="51" t="s">
        <v>538</v>
      </c>
      <c r="D30" s="50" t="s">
        <v>539</v>
      </c>
      <c r="E30" s="50" t="s">
        <v>540</v>
      </c>
    </row>
    <row r="31" customFormat="false" ht="33.75" hidden="false" customHeight="true" outlineLevel="0" collapsed="false">
      <c r="B31" s="49" t="s">
        <v>541</v>
      </c>
      <c r="C31" s="51" t="s">
        <v>542</v>
      </c>
      <c r="D31" s="50" t="s">
        <v>543</v>
      </c>
      <c r="E31" s="50" t="s">
        <v>544</v>
      </c>
    </row>
    <row r="32" customFormat="false" ht="33.75" hidden="false" customHeight="true" outlineLevel="0" collapsed="false">
      <c r="B32" s="49" t="s">
        <v>545</v>
      </c>
      <c r="C32" s="51" t="s">
        <v>546</v>
      </c>
      <c r="D32" s="50" t="s">
        <v>547</v>
      </c>
      <c r="E32" s="50" t="s">
        <v>548</v>
      </c>
    </row>
    <row r="33" customFormat="false" ht="33.75" hidden="false" customHeight="true" outlineLevel="0" collapsed="false">
      <c r="B33" s="49" t="s">
        <v>549</v>
      </c>
      <c r="C33" s="51" t="s">
        <v>550</v>
      </c>
      <c r="D33" s="50" t="s">
        <v>551</v>
      </c>
      <c r="E33" s="50" t="s">
        <v>552</v>
      </c>
    </row>
    <row r="34" customFormat="false" ht="33.75" hidden="false" customHeight="true" outlineLevel="0" collapsed="false">
      <c r="B34" s="49" t="s">
        <v>553</v>
      </c>
      <c r="C34" s="51" t="s">
        <v>554</v>
      </c>
      <c r="D34" s="50" t="s">
        <v>555</v>
      </c>
      <c r="E34" s="50" t="s">
        <v>556</v>
      </c>
    </row>
    <row r="35" customFormat="false" ht="33.75" hidden="false" customHeight="true" outlineLevel="0" collapsed="false">
      <c r="B35" s="49" t="s">
        <v>557</v>
      </c>
      <c r="C35" s="51" t="s">
        <v>558</v>
      </c>
      <c r="D35" s="50" t="s">
        <v>559</v>
      </c>
      <c r="E35" s="50" t="s">
        <v>560</v>
      </c>
    </row>
    <row r="37" customFormat="false" ht="15" hidden="false" customHeight="true" outlineLevel="0" collapsed="false">
      <c r="B37" s="21" t="s">
        <v>561</v>
      </c>
      <c r="C37" s="34"/>
      <c r="D37" s="34"/>
      <c r="E37" s="34"/>
      <c r="F37" s="34"/>
    </row>
    <row r="38" customFormat="false" ht="15" hidden="false" customHeight="true" outlineLevel="0" collapsed="false">
      <c r="B38" s="48"/>
      <c r="C38" s="48" t="s">
        <v>562</v>
      </c>
      <c r="D38" s="48" t="s">
        <v>563</v>
      </c>
      <c r="E38" s="48" t="s">
        <v>564</v>
      </c>
      <c r="F38" s="48" t="s">
        <v>565</v>
      </c>
    </row>
    <row r="39" customFormat="false" ht="15" hidden="false" customHeight="true" outlineLevel="0" collapsed="false">
      <c r="B39" s="40" t="s">
        <v>566</v>
      </c>
      <c r="C39" s="7" t="n">
        <f aca="false">'Construction Draws'!F30</f>
        <v>0.976358706438194</v>
      </c>
      <c r="D39" s="7" t="n">
        <f aca="false">'Construction Draws'!F31</f>
        <v>0.931883561788773</v>
      </c>
      <c r="E39" s="7" t="n">
        <f aca="false">'Construction Draws'!F32</f>
        <v>0.898623940340509</v>
      </c>
      <c r="F39" s="9" t="str">
        <f aca="false">'Construction Draws'!C35&amp;" / "&amp;'Construction Draws'!C39</f>
        <v>Debt first / Debt first</v>
      </c>
    </row>
    <row r="40" customFormat="false" ht="15" hidden="false" customHeight="true" outlineLevel="0" collapsed="false">
      <c r="B40" s="40" t="s">
        <v>567</v>
      </c>
      <c r="C40" s="7" t="n">
        <f aca="false">'Construction Draws'!F68</f>
        <v>2.44465264110648</v>
      </c>
      <c r="D40" s="7" t="n">
        <f aca="false">'Construction Draws'!F69</f>
        <v>2.75610763637083</v>
      </c>
      <c r="E40" s="7" t="n">
        <f aca="false">'Construction Draws'!F70</f>
        <v>3.02270053883056</v>
      </c>
      <c r="F40" s="9" t="str">
        <f aca="false">'Construction Draws'!C73&amp;" / "&amp;'Construction Draws'!C77</f>
        <v>Equity first / Equity first</v>
      </c>
    </row>
    <row r="41" customFormat="false" ht="15" hidden="false" customHeight="true" outlineLevel="0" collapsed="false">
      <c r="B41" s="3" t="s">
        <v>568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8"/>
    <col collapsed="false" customWidth="true" hidden="false" outlineLevel="0" max="3" min="3" style="1" width="16"/>
    <col collapsed="false" customWidth="true" hidden="false" outlineLevel="0" max="22" min="4" style="1" width="7.5"/>
  </cols>
  <sheetData>
    <row r="1" customFormat="false" ht="17.25" hidden="false" customHeight="true" outlineLevel="0" collapsed="false">
      <c r="B1" s="2" t="s">
        <v>569</v>
      </c>
    </row>
    <row r="2" customFormat="false" ht="15" hidden="false" customHeight="true" outlineLevel="0" collapsed="false">
      <c r="B2" s="3" t="s">
        <v>570</v>
      </c>
    </row>
    <row r="4" customFormat="false" ht="15" hidden="false" customHeight="true" outlineLevel="0" collapsed="false">
      <c r="B4" s="5" t="s">
        <v>571</v>
      </c>
      <c r="C4" s="5" t="s">
        <v>433</v>
      </c>
      <c r="D4" s="52" t="s">
        <v>572</v>
      </c>
      <c r="E4" s="52" t="s">
        <v>573</v>
      </c>
      <c r="F4" s="52" t="s">
        <v>574</v>
      </c>
      <c r="G4" s="52" t="s">
        <v>575</v>
      </c>
      <c r="H4" s="52" t="s">
        <v>576</v>
      </c>
      <c r="I4" s="52" t="s">
        <v>577</v>
      </c>
      <c r="J4" s="52" t="s">
        <v>578</v>
      </c>
      <c r="K4" s="52" t="s">
        <v>579</v>
      </c>
      <c r="L4" s="52" t="s">
        <v>580</v>
      </c>
      <c r="M4" s="52" t="s">
        <v>581</v>
      </c>
      <c r="N4" s="52" t="s">
        <v>582</v>
      </c>
      <c r="O4" s="52" t="s">
        <v>583</v>
      </c>
      <c r="P4" s="52" t="s">
        <v>584</v>
      </c>
      <c r="Q4" s="52" t="s">
        <v>585</v>
      </c>
      <c r="R4" s="52" t="s">
        <v>586</v>
      </c>
      <c r="S4" s="52" t="s">
        <v>587</v>
      </c>
      <c r="T4" s="52" t="s">
        <v>588</v>
      </c>
      <c r="U4" s="52" t="s">
        <v>589</v>
      </c>
      <c r="V4" s="52" t="s">
        <v>590</v>
      </c>
    </row>
    <row r="5" customFormat="false" ht="15" hidden="false" customHeight="true" outlineLevel="0" collapsed="false">
      <c r="B5" s="1" t="s">
        <v>591</v>
      </c>
      <c r="C5" s="3" t="s">
        <v>592</v>
      </c>
      <c r="D5" s="53"/>
      <c r="E5" s="53"/>
    </row>
    <row r="6" customFormat="false" ht="15" hidden="false" customHeight="true" outlineLevel="0" collapsed="false">
      <c r="B6" s="1" t="s">
        <v>593</v>
      </c>
      <c r="C6" s="3" t="s">
        <v>592</v>
      </c>
      <c r="D6" s="53"/>
      <c r="E6" s="53"/>
      <c r="F6" s="53"/>
    </row>
    <row r="7" customFormat="false" ht="15" hidden="false" customHeight="true" outlineLevel="0" collapsed="false">
      <c r="B7" s="1" t="s">
        <v>594</v>
      </c>
      <c r="C7" s="3" t="s">
        <v>595</v>
      </c>
      <c r="G7" s="54"/>
      <c r="H7" s="54"/>
    </row>
    <row r="8" customFormat="false" ht="15" hidden="false" customHeight="true" outlineLevel="0" collapsed="false">
      <c r="B8" s="1" t="s">
        <v>596</v>
      </c>
      <c r="C8" s="3" t="s">
        <v>595</v>
      </c>
      <c r="H8" s="54"/>
      <c r="I8" s="54"/>
      <c r="J8" s="54"/>
    </row>
    <row r="9" customFormat="false" ht="15" hidden="false" customHeight="true" outlineLevel="0" collapsed="false">
      <c r="B9" s="1" t="s">
        <v>597</v>
      </c>
      <c r="C9" s="3" t="s">
        <v>595</v>
      </c>
      <c r="J9" s="54"/>
      <c r="K9" s="54"/>
    </row>
    <row r="10" customFormat="false" ht="15" hidden="false" customHeight="true" outlineLevel="0" collapsed="false">
      <c r="B10" s="1" t="s">
        <v>598</v>
      </c>
      <c r="C10" s="3" t="s">
        <v>595</v>
      </c>
      <c r="L10" s="55"/>
    </row>
    <row r="11" customFormat="false" ht="15" hidden="false" customHeight="true" outlineLevel="0" collapsed="false">
      <c r="B11" s="1" t="s">
        <v>599</v>
      </c>
      <c r="C11" s="3" t="s">
        <v>595</v>
      </c>
      <c r="M11" s="54"/>
      <c r="N11" s="54"/>
      <c r="O11" s="54"/>
      <c r="P11" s="54"/>
    </row>
    <row r="12" customFormat="false" ht="15" hidden="false" customHeight="true" outlineLevel="0" collapsed="false">
      <c r="B12" s="1" t="s">
        <v>600</v>
      </c>
      <c r="C12" s="3" t="s">
        <v>595</v>
      </c>
      <c r="P12" s="55"/>
    </row>
    <row r="13" customFormat="false" ht="15" hidden="false" customHeight="true" outlineLevel="0" collapsed="false">
      <c r="B13" s="1" t="s">
        <v>601</v>
      </c>
      <c r="C13" s="3" t="s">
        <v>602</v>
      </c>
      <c r="F13" s="53"/>
      <c r="G13" s="53"/>
    </row>
    <row r="14" customFormat="false" ht="15" hidden="false" customHeight="true" outlineLevel="0" collapsed="false">
      <c r="B14" s="1" t="s">
        <v>603</v>
      </c>
      <c r="C14" s="3" t="s">
        <v>602</v>
      </c>
      <c r="I14" s="53"/>
      <c r="J14" s="53"/>
    </row>
    <row r="15" customFormat="false" ht="15" hidden="false" customHeight="true" outlineLevel="0" collapsed="false">
      <c r="B15" s="1" t="s">
        <v>604</v>
      </c>
      <c r="C15" s="3" t="s">
        <v>602</v>
      </c>
      <c r="L15" s="55"/>
    </row>
    <row r="16" customFormat="false" ht="15" hidden="false" customHeight="true" outlineLevel="0" collapsed="false">
      <c r="B16" s="1" t="s">
        <v>605</v>
      </c>
      <c r="C16" s="3" t="s">
        <v>602</v>
      </c>
      <c r="V16" s="55"/>
    </row>
    <row r="17" customFormat="false" ht="15" hidden="false" customHeight="true" outlineLevel="0" collapsed="false">
      <c r="B17" s="1" t="s">
        <v>606</v>
      </c>
      <c r="C17" s="3" t="s">
        <v>607</v>
      </c>
      <c r="E17" s="56"/>
      <c r="F17" s="56"/>
      <c r="G17" s="56"/>
    </row>
    <row r="18" customFormat="false" ht="15" hidden="false" customHeight="true" outlineLevel="0" collapsed="false">
      <c r="B18" s="1" t="s">
        <v>608</v>
      </c>
      <c r="C18" s="3" t="s">
        <v>607</v>
      </c>
      <c r="H18" s="56"/>
      <c r="I18" s="56"/>
    </row>
    <row r="19" customFormat="false" ht="15" hidden="false" customHeight="true" outlineLevel="0" collapsed="false">
      <c r="B19" s="1" t="s">
        <v>609</v>
      </c>
      <c r="C19" s="3" t="s">
        <v>607</v>
      </c>
      <c r="J19" s="56"/>
      <c r="K19" s="56"/>
      <c r="L19" s="56"/>
    </row>
    <row r="20" customFormat="false" ht="15" hidden="false" customHeight="true" outlineLevel="0" collapsed="false">
      <c r="B20" s="1" t="s">
        <v>610</v>
      </c>
      <c r="C20" s="3" t="s">
        <v>607</v>
      </c>
      <c r="V20" s="55"/>
    </row>
    <row r="21" customFormat="false" ht="15" hidden="false" customHeight="true" outlineLevel="0" collapsed="false">
      <c r="B21" s="1" t="s">
        <v>611</v>
      </c>
      <c r="C21" s="3" t="s">
        <v>612</v>
      </c>
      <c r="S21" s="54"/>
      <c r="T21" s="54"/>
      <c r="U21" s="54"/>
      <c r="V21" s="54"/>
    </row>
    <row r="23" customFormat="false" ht="15" hidden="false" customHeight="true" outlineLevel="0" collapsed="false">
      <c r="B23" s="3" t="s">
        <v>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6"/>
    <col collapsed="false" customWidth="true" hidden="false" outlineLevel="0" max="5" min="3" style="1" width="14"/>
  </cols>
  <sheetData>
    <row r="1" customFormat="false" ht="17.25" hidden="false" customHeight="true" outlineLevel="0" collapsed="false">
      <c r="B1" s="2" t="s">
        <v>614</v>
      </c>
    </row>
    <row r="2" customFormat="false" ht="15" hidden="false" customHeight="true" outlineLevel="0" collapsed="false">
      <c r="B2" s="3" t="s">
        <v>615</v>
      </c>
    </row>
    <row r="4" customFormat="false" ht="15" hidden="false" customHeight="true" outlineLevel="0" collapsed="false">
      <c r="B4" s="5" t="s">
        <v>297</v>
      </c>
      <c r="C4" s="5" t="s">
        <v>22</v>
      </c>
      <c r="D4" s="5" t="s">
        <v>23</v>
      </c>
      <c r="E4" s="5" t="s">
        <v>24</v>
      </c>
    </row>
    <row r="5" customFormat="false" ht="15" hidden="false" customHeight="true" outlineLevel="0" collapsed="false">
      <c r="B5" s="21" t="s">
        <v>616</v>
      </c>
      <c r="C5" s="34"/>
      <c r="D5" s="34"/>
      <c r="E5" s="34"/>
    </row>
    <row r="6" customFormat="false" ht="15" hidden="false" customHeight="true" outlineLevel="0" collapsed="false">
      <c r="B6" s="4" t="s">
        <v>25</v>
      </c>
      <c r="C6" s="6" t="n">
        <f aca="false">Inputs!$C$6</f>
        <v>25</v>
      </c>
      <c r="D6" s="6" t="n">
        <f aca="false">Inputs!$D$6</f>
        <v>50</v>
      </c>
      <c r="E6" s="24" t="n">
        <f aca="false">C6+D6</f>
        <v>75</v>
      </c>
    </row>
    <row r="7" customFormat="false" ht="15" hidden="false" customHeight="true" outlineLevel="0" collapsed="false">
      <c r="B7" s="4" t="s">
        <v>617</v>
      </c>
      <c r="C7" s="57" t="n">
        <f aca="false">Inputs!$C$6*Inputs!$C$10/10000</f>
        <v>68.1275</v>
      </c>
      <c r="D7" s="57" t="n">
        <f aca="false">Inputs!$D$6*Inputs!$D$10/10000</f>
        <v>136.255</v>
      </c>
      <c r="E7" s="57" t="n">
        <f aca="false">C7+D7</f>
        <v>204.3825</v>
      </c>
    </row>
    <row r="8" customFormat="false" ht="15" hidden="false" customHeight="true" outlineLevel="0" collapsed="false">
      <c r="B8" s="4" t="s">
        <v>185</v>
      </c>
      <c r="C8" s="57" t="n">
        <f aca="false">C7*Inputs!$C$11</f>
        <v>2.043825</v>
      </c>
      <c r="D8" s="57" t="n">
        <f aca="false">D7*Inputs!$D$11</f>
        <v>4.08765</v>
      </c>
      <c r="E8" s="57" t="n">
        <f aca="false">C8+D8</f>
        <v>6.131475</v>
      </c>
    </row>
    <row r="9" customFormat="false" ht="15" hidden="false" customHeight="true" outlineLevel="0" collapsed="false">
      <c r="B9" s="4" t="s">
        <v>188</v>
      </c>
      <c r="C9" s="57" t="n">
        <f aca="false">Inputs!$C$6*Inputs!$C$12/100</f>
        <v>7.9175</v>
      </c>
      <c r="D9" s="57" t="n">
        <f aca="false">Inputs!$D$6*Inputs!$D$12/100</f>
        <v>15.835</v>
      </c>
      <c r="E9" s="57" t="n">
        <f aca="false">C9+D9</f>
        <v>23.7525</v>
      </c>
    </row>
    <row r="10" customFormat="false" ht="15" hidden="false" customHeight="true" outlineLevel="0" collapsed="false">
      <c r="B10" s="4" t="s">
        <v>191</v>
      </c>
      <c r="C10" s="57" t="n">
        <f aca="false">C7*Inputs!$C$13</f>
        <v>2.043825</v>
      </c>
      <c r="D10" s="57" t="n">
        <f aca="false">D7*Inputs!$D$13</f>
        <v>4.08765</v>
      </c>
      <c r="E10" s="57" t="n">
        <f aca="false">C10+D10</f>
        <v>6.131475</v>
      </c>
    </row>
    <row r="11" customFormat="false" ht="15" hidden="false" customHeight="true" outlineLevel="0" collapsed="false">
      <c r="B11" s="13" t="s">
        <v>618</v>
      </c>
      <c r="C11" s="58" t="n">
        <f aca="false">SUM(C7:C10)</f>
        <v>80.13265</v>
      </c>
      <c r="D11" s="58" t="n">
        <f aca="false">SUM(D7:D10)</f>
        <v>160.2653</v>
      </c>
      <c r="E11" s="58" t="n">
        <f aca="false">C11+D11</f>
        <v>240.39795</v>
      </c>
    </row>
    <row r="12" customFormat="false" ht="15" hidden="false" customHeight="true" outlineLevel="0" collapsed="false">
      <c r="B12" s="4" t="s">
        <v>619</v>
      </c>
      <c r="C12" s="24" t="n">
        <f aca="false">C11*10000/C6</f>
        <v>32053.06</v>
      </c>
      <c r="D12" s="24" t="n">
        <f aca="false">D11*10000/D6</f>
        <v>32053.06</v>
      </c>
      <c r="E12" s="39" t="n">
        <f aca="false">E11*10000/E6</f>
        <v>32053.06</v>
      </c>
    </row>
    <row r="13" customFormat="false" ht="15" hidden="false" customHeight="true" outlineLevel="0" collapsed="false">
      <c r="B13" s="21" t="s">
        <v>620</v>
      </c>
      <c r="C13" s="34"/>
      <c r="D13" s="34"/>
      <c r="E13" s="34"/>
    </row>
    <row r="14" customFormat="false" ht="15" hidden="false" customHeight="true" outlineLevel="0" collapsed="false">
      <c r="B14" s="4" t="s">
        <v>621</v>
      </c>
      <c r="C14" s="32" t="n">
        <f aca="false">Inputs!$C$32+Inputs!$C$33*Inputs!$C$34/12+'Construction Draws'!$C$36</f>
        <v>0.0316164397436896</v>
      </c>
      <c r="D14" s="32" t="n">
        <f aca="false">Inputs!$D$32+Inputs!$D$33*Inputs!$D$34/12+'Construction Draws'!$C$74</f>
        <v>0.0294668935896437</v>
      </c>
    </row>
    <row r="15" customFormat="false" ht="15" hidden="false" customHeight="true" outlineLevel="0" collapsed="false">
      <c r="B15" s="4" t="s">
        <v>622</v>
      </c>
      <c r="C15" s="57" t="n">
        <f aca="false">Inputs!$C$52*C11/(1-Inputs!$C$52*C14)</f>
        <v>57.3623707570161</v>
      </c>
      <c r="D15" s="57" t="n">
        <f aca="false">Inputs!$D$52*D11/(1-Inputs!$D$52*D14)</f>
        <v>114.548481541507</v>
      </c>
      <c r="E15" s="57" t="n">
        <f aca="false">C15+D15</f>
        <v>171.910852298523</v>
      </c>
    </row>
    <row r="16" customFormat="false" ht="15" hidden="false" customHeight="true" outlineLevel="0" collapsed="false">
      <c r="B16" s="4" t="s">
        <v>623</v>
      </c>
      <c r="C16" s="7" t="n">
        <f aca="false">SPV3!$D$21</f>
        <v>57.9218948100417</v>
      </c>
      <c r="D16" s="7" t="n">
        <f aca="false">SPV4!$D$21</f>
        <v>115.843789620083</v>
      </c>
      <c r="E16" s="57" t="n">
        <f aca="false">C16+D16</f>
        <v>173.765684430125</v>
      </c>
    </row>
    <row r="17" customFormat="false" ht="15" hidden="false" customHeight="true" outlineLevel="0" collapsed="false">
      <c r="B17" s="4" t="s">
        <v>624</v>
      </c>
      <c r="C17" s="7" t="n">
        <f aca="false">SPV3!$D$22</f>
        <v>53.5249528413889</v>
      </c>
      <c r="D17" s="7" t="n">
        <f aca="false">SPV4!$D$22</f>
        <v>107.049905682778</v>
      </c>
      <c r="E17" s="57" t="n">
        <f aca="false">C17+D17</f>
        <v>160.574858524167</v>
      </c>
    </row>
    <row r="18" customFormat="false" ht="15" hidden="false" customHeight="true" outlineLevel="0" collapsed="false">
      <c r="B18" s="4" t="s">
        <v>625</v>
      </c>
      <c r="C18" s="7" t="n">
        <f aca="false">IF(Inputs!$C$38=2,C17,C16)</f>
        <v>53.5249528413889</v>
      </c>
      <c r="D18" s="7" t="n">
        <f aca="false">IF(Inputs!$D$38=2,D17,D16)</f>
        <v>107.049905682778</v>
      </c>
      <c r="E18" s="57" t="n">
        <f aca="false">C18+D18</f>
        <v>160.574858524167</v>
      </c>
    </row>
    <row r="19" customFormat="false" ht="15" hidden="false" customHeight="true" outlineLevel="0" collapsed="false">
      <c r="B19" s="13" t="s">
        <v>626</v>
      </c>
      <c r="C19" s="58" t="n">
        <f aca="false">MIN(C15,C18)</f>
        <v>53.5249528413889</v>
      </c>
      <c r="D19" s="58" t="n">
        <f aca="false">MIN(D15,D18)</f>
        <v>107.049905682778</v>
      </c>
      <c r="E19" s="58" t="n">
        <f aca="false">C19+D19</f>
        <v>160.574858524167</v>
      </c>
    </row>
    <row r="20" customFormat="false" ht="15" hidden="false" customHeight="true" outlineLevel="0" collapsed="false">
      <c r="B20" s="4" t="s">
        <v>30</v>
      </c>
      <c r="C20" s="9" t="str">
        <f aca="false">IF(C15&lt;=C18,"Gearing 70%",IF(Inputs!$C$38=2,"DSCR, P90 case","DSCR, P50 case"))</f>
        <v>DSCR, P90 case</v>
      </c>
      <c r="D20" s="9" t="str">
        <f aca="false">IF(D15&lt;=D18,"Gearing 70%",IF(Inputs!$D$38=2,"DSCR, P90 case","DSCR, P50 case"))</f>
        <v>DSCR, P90 case</v>
      </c>
    </row>
    <row r="21" customFormat="false" ht="15" hidden="false" customHeight="true" outlineLevel="0" collapsed="false">
      <c r="B21" s="4" t="s">
        <v>627</v>
      </c>
      <c r="C21" s="57" t="n">
        <f aca="false">MAX(0,C15-C19)</f>
        <v>3.83741791562714</v>
      </c>
      <c r="D21" s="57" t="n">
        <f aca="false">MAX(0,D15-D19)</f>
        <v>7.49857585872935</v>
      </c>
      <c r="E21" s="57" t="n">
        <f aca="false">C21+D21</f>
        <v>11.3359937743565</v>
      </c>
    </row>
    <row r="22" customFormat="false" ht="15" hidden="false" customHeight="true" outlineLevel="0" collapsed="false">
      <c r="B22" s="21" t="s">
        <v>628</v>
      </c>
      <c r="C22" s="34"/>
      <c r="D22" s="34"/>
      <c r="E22" s="34"/>
    </row>
    <row r="23" customFormat="false" ht="15" hidden="false" customHeight="true" outlineLevel="0" collapsed="false">
      <c r="B23" s="4" t="s">
        <v>618</v>
      </c>
      <c r="C23" s="57" t="n">
        <f aca="false">C11</f>
        <v>80.13265</v>
      </c>
      <c r="D23" s="57" t="n">
        <f aca="false">D11</f>
        <v>160.2653</v>
      </c>
      <c r="E23" s="57" t="n">
        <f aca="false">C23+D23</f>
        <v>240.39795</v>
      </c>
    </row>
    <row r="24" customFormat="false" ht="15" hidden="false" customHeight="true" outlineLevel="0" collapsed="false">
      <c r="B24" s="4" t="s">
        <v>629</v>
      </c>
      <c r="C24" s="57" t="n">
        <f aca="false">C19*'Construction Draws'!$C$36</f>
        <v>0.760042184306077</v>
      </c>
      <c r="D24" s="57" t="n">
        <f aca="false">D19*'Construction Draws'!$C$74</f>
        <v>1.28997565556077</v>
      </c>
      <c r="E24" s="57" t="n">
        <f aca="false">C24+D24</f>
        <v>2.05001783986684</v>
      </c>
    </row>
    <row r="25" customFormat="false" ht="15" hidden="false" customHeight="true" outlineLevel="0" collapsed="false">
      <c r="B25" s="4" t="s">
        <v>630</v>
      </c>
      <c r="C25" s="4" t="str">
        <f aca="false">'Construction Draws'!$C$35</f>
        <v>Debt first</v>
      </c>
      <c r="D25" s="4" t="str">
        <f aca="false">'Construction Draws'!$C$73</f>
        <v>Equity first</v>
      </c>
    </row>
    <row r="26" customFormat="false" ht="15" hidden="false" customHeight="true" outlineLevel="0" collapsed="false">
      <c r="B26" s="4" t="s">
        <v>631</v>
      </c>
      <c r="C26" s="57" t="n">
        <f aca="false">C19*(Inputs!$C$32+Inputs!$C$33*Inputs!$C$34/12)</f>
        <v>0.932226261987524</v>
      </c>
      <c r="D26" s="57" t="n">
        <f aca="false">D19*(Inputs!$D$32+Inputs!$D$33*Inputs!$D$34/12)</f>
        <v>1.86445252397505</v>
      </c>
      <c r="E26" s="57" t="n">
        <f aca="false">C26+D26</f>
        <v>2.79667878596257</v>
      </c>
    </row>
    <row r="27" customFormat="false" ht="15" hidden="false" customHeight="true" outlineLevel="0" collapsed="false">
      <c r="B27" s="13" t="s">
        <v>632</v>
      </c>
      <c r="C27" s="58" t="n">
        <f aca="false">C23+C24+C26+C44</f>
        <v>81.8249184462936</v>
      </c>
      <c r="D27" s="58" t="n">
        <f aca="false">D23+D24+D26+D44</f>
        <v>163.419728179536</v>
      </c>
      <c r="E27" s="58" t="n">
        <f aca="false">C27+D27</f>
        <v>245.244646625829</v>
      </c>
    </row>
    <row r="28" customFormat="false" ht="15" hidden="false" customHeight="true" outlineLevel="0" collapsed="false">
      <c r="B28" s="21" t="s">
        <v>633</v>
      </c>
      <c r="C28" s="34"/>
      <c r="D28" s="34"/>
      <c r="E28" s="34"/>
    </row>
    <row r="29" customFormat="false" ht="15" hidden="false" customHeight="true" outlineLevel="0" collapsed="false">
      <c r="B29" s="4" t="s">
        <v>634</v>
      </c>
      <c r="C29" s="57" t="n">
        <f aca="false">C19</f>
        <v>53.5249528413889</v>
      </c>
      <c r="D29" s="57" t="n">
        <f aca="false">D19</f>
        <v>107.049905682778</v>
      </c>
      <c r="E29" s="57" t="n">
        <f aca="false">C29+D29</f>
        <v>160.574858524167</v>
      </c>
    </row>
    <row r="30" customFormat="false" ht="15" hidden="false" customHeight="true" outlineLevel="0" collapsed="false">
      <c r="B30" s="4" t="s">
        <v>635</v>
      </c>
      <c r="C30" s="57" t="n">
        <f aca="false">C27-C29</f>
        <v>28.2999656049047</v>
      </c>
      <c r="D30" s="57" t="n">
        <f aca="false">D27-D29</f>
        <v>56.369822496758</v>
      </c>
      <c r="E30" s="57" t="n">
        <f aca="false">C30+D30</f>
        <v>84.6697881016627</v>
      </c>
    </row>
    <row r="31" customFormat="false" ht="15" hidden="false" customHeight="true" outlineLevel="0" collapsed="false">
      <c r="B31" s="4" t="s">
        <v>636</v>
      </c>
      <c r="C31" s="57" t="n">
        <f aca="false">C30*(1-Inputs!$C$55)</f>
        <v>4.2449948407357</v>
      </c>
      <c r="D31" s="57" t="n">
        <f aca="false">D30*(1-Inputs!$D$55)</f>
        <v>8.4554733745137</v>
      </c>
      <c r="E31" s="57" t="n">
        <f aca="false">C31+D31</f>
        <v>12.7004682152494</v>
      </c>
    </row>
    <row r="32" customFormat="false" ht="15" hidden="false" customHeight="true" outlineLevel="0" collapsed="false">
      <c r="B32" s="4" t="s">
        <v>637</v>
      </c>
      <c r="C32" s="57" t="n">
        <f aca="false">C30*Inputs!$C$55</f>
        <v>24.054970764169</v>
      </c>
      <c r="D32" s="57" t="n">
        <f aca="false">D30*Inputs!$D$55</f>
        <v>47.9143491222443</v>
      </c>
      <c r="E32" s="57" t="n">
        <f aca="false">C32+D32</f>
        <v>71.9693198864133</v>
      </c>
    </row>
    <row r="33" customFormat="false" ht="15" hidden="false" customHeight="true" outlineLevel="0" collapsed="false">
      <c r="B33" s="13" t="s">
        <v>638</v>
      </c>
      <c r="C33" s="58" t="n">
        <f aca="false">C29+C30</f>
        <v>81.8249184462936</v>
      </c>
      <c r="D33" s="58" t="n">
        <f aca="false">D29+D30</f>
        <v>163.419728179536</v>
      </c>
      <c r="E33" s="58" t="n">
        <f aca="false">C33+D33</f>
        <v>245.244646625829</v>
      </c>
    </row>
    <row r="34" customFormat="false" ht="15" hidden="false" customHeight="true" outlineLevel="0" collapsed="false">
      <c r="B34" s="4" t="s">
        <v>639</v>
      </c>
      <c r="C34" s="33" t="n">
        <f aca="false">C29/C27</f>
        <v>0.654140008419568</v>
      </c>
      <c r="D34" s="33" t="n">
        <f aca="false">D29/D27</f>
        <v>0.655061092533277</v>
      </c>
      <c r="E34" s="46" t="n">
        <f aca="false">E29/E27</f>
        <v>0.654753776416398</v>
      </c>
    </row>
    <row r="35" customFormat="false" ht="15" hidden="false" customHeight="true" outlineLevel="0" collapsed="false">
      <c r="B35" s="4" t="s">
        <v>640</v>
      </c>
      <c r="C35" s="57" t="n">
        <f aca="false">C33-C27</f>
        <v>0</v>
      </c>
      <c r="D35" s="57" t="n">
        <f aca="false">D33-D27</f>
        <v>0</v>
      </c>
      <c r="E35" s="57" t="n">
        <f aca="false">C35+D35</f>
        <v>0</v>
      </c>
    </row>
    <row r="36" customFormat="false" ht="15" hidden="false" customHeight="true" outlineLevel="0" collapsed="false">
      <c r="B36" s="21" t="s">
        <v>641</v>
      </c>
      <c r="C36" s="34"/>
      <c r="D36" s="34"/>
      <c r="E36" s="34"/>
    </row>
    <row r="37" customFormat="false" ht="15" hidden="false" customHeight="true" outlineLevel="0" collapsed="false">
      <c r="B37" s="4" t="s">
        <v>284</v>
      </c>
      <c r="C37" s="57" t="n">
        <f aca="false">IF(Inputs!$C$66=1,0,Inputs!$C$6*Inputs!$C$65/100)</f>
        <v>3.985</v>
      </c>
      <c r="D37" s="57" t="n">
        <f aca="false">IF(Inputs!$D$66=1,0,Inputs!$D$6*Inputs!$D$65/100)</f>
        <v>7.97</v>
      </c>
      <c r="E37" s="57" t="n">
        <f aca="false">C37+D37</f>
        <v>11.955</v>
      </c>
    </row>
    <row r="38" customFormat="false" ht="15" hidden="false" customHeight="true" outlineLevel="0" collapsed="false">
      <c r="B38" s="4" t="s">
        <v>642</v>
      </c>
      <c r="C38" s="57" t="n">
        <f aca="false">Inputs!$C$6*Inputs!$C$67/10000</f>
        <v>5.625</v>
      </c>
      <c r="D38" s="57" t="n">
        <f aca="false">Inputs!$D$6*Inputs!$D$67/10000</f>
        <v>11.25</v>
      </c>
      <c r="E38" s="57" t="n">
        <f aca="false">C38+D38</f>
        <v>16.875</v>
      </c>
    </row>
    <row r="39" customFormat="false" ht="15" hidden="false" customHeight="true" outlineLevel="0" collapsed="false">
      <c r="B39" s="4" t="s">
        <v>643</v>
      </c>
      <c r="C39" s="57" t="n">
        <f aca="false">IF(Inputs!$C$106=2,0,C38*Inputs!$C$68)</f>
        <v>1.40625</v>
      </c>
      <c r="D39" s="57" t="n">
        <f aca="false">IF(Inputs!$C$106=2,0,D38*Inputs!$D$68)</f>
        <v>2.8125</v>
      </c>
      <c r="E39" s="57" t="n">
        <f aca="false">C39+D39</f>
        <v>4.21875</v>
      </c>
    </row>
    <row r="40" customFormat="false" ht="15" hidden="false" customHeight="true" outlineLevel="0" collapsed="false">
      <c r="B40" s="4" t="s">
        <v>644</v>
      </c>
      <c r="C40" s="57" t="n">
        <f aca="false">IF(Inputs!$C$106=2,C38*Inputs!$C$107*Inputs!$C$108,0)</f>
        <v>0</v>
      </c>
      <c r="D40" s="57" t="n">
        <f aca="false">IF(Inputs!$C$106=2,D38*Inputs!$C$107*Inputs!$C$108,0)</f>
        <v>0</v>
      </c>
      <c r="E40" s="57" t="n">
        <f aca="false">C40+D40</f>
        <v>0</v>
      </c>
    </row>
    <row r="41" customFormat="false" ht="15" hidden="false" customHeight="true" outlineLevel="0" collapsed="false">
      <c r="B41" s="4" t="s">
        <v>645</v>
      </c>
      <c r="C41" s="57" t="n">
        <f aca="false">C37+C39+C40</f>
        <v>5.39125</v>
      </c>
      <c r="D41" s="57" t="n">
        <f aca="false">D37+D39+D40</f>
        <v>10.7825</v>
      </c>
      <c r="E41" s="57" t="n">
        <f aca="false">C41+D41</f>
        <v>16.17375</v>
      </c>
    </row>
    <row r="42" customFormat="false" ht="15" hidden="false" customHeight="true" outlineLevel="0" collapsed="false">
      <c r="B42" s="13" t="s">
        <v>646</v>
      </c>
      <c r="C42" s="58" t="n">
        <f aca="false">C30+C41</f>
        <v>33.6912156049047</v>
      </c>
      <c r="D42" s="58" t="n">
        <f aca="false">D30+D41</f>
        <v>67.152322496758</v>
      </c>
      <c r="E42" s="58" t="n">
        <f aca="false">C42+D42</f>
        <v>100.843538101663</v>
      </c>
    </row>
    <row r="43" customFormat="false" ht="15" hidden="false" customHeight="true" outlineLevel="0" collapsed="false">
      <c r="B43" s="4" t="s">
        <v>647</v>
      </c>
      <c r="C43" s="57" t="n">
        <f aca="false">C23+C24+C26+C37+C40</f>
        <v>85.8099184462936</v>
      </c>
      <c r="D43" s="57" t="n">
        <f aca="false">D23+D24+D26+D37+D40</f>
        <v>171.389728179536</v>
      </c>
      <c r="E43" s="57" t="n">
        <f aca="false">C43+D43</f>
        <v>257.199646625829</v>
      </c>
    </row>
    <row r="44" customFormat="false" ht="15" hidden="false" customHeight="true" outlineLevel="0" collapsed="false">
      <c r="B44" s="4" t="s">
        <v>648</v>
      </c>
      <c r="C44" s="57" t="n">
        <f aca="false">IF(Inputs!$C$110=1,SPV3!$E$52,0)</f>
        <v>0</v>
      </c>
      <c r="D44" s="57" t="n">
        <f aca="false">IF(Inputs!$C$110=1,SPV4!$E$52,0)</f>
        <v>0</v>
      </c>
      <c r="E44" s="57" t="n">
        <f aca="false">C44+D44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4"/>
    <col collapsed="false" customWidth="true" hidden="false" outlineLevel="0" max="16" min="4" style="1" width="10"/>
  </cols>
  <sheetData>
    <row r="1" customFormat="false" ht="17.25" hidden="false" customHeight="true" outlineLevel="0" collapsed="false">
      <c r="B1" s="2" t="s">
        <v>649</v>
      </c>
    </row>
    <row r="2" customFormat="false" ht="15" hidden="false" customHeight="true" outlineLevel="0" collapsed="false">
      <c r="B2" s="3" t="s">
        <v>650</v>
      </c>
    </row>
    <row r="4" customFormat="false" ht="15" hidden="false" customHeight="true" outlineLevel="0" collapsed="false">
      <c r="B4" s="21" t="s">
        <v>22</v>
      </c>
      <c r="C4" s="34"/>
      <c r="D4" s="34"/>
      <c r="E4" s="34"/>
      <c r="F4" s="34"/>
      <c r="G4" s="34"/>
      <c r="H4" s="34"/>
      <c r="I4" s="34"/>
      <c r="J4" s="34"/>
      <c r="K4" s="34"/>
      <c r="L4" s="34"/>
      <c r="M4" s="34"/>
      <c r="N4" s="34"/>
      <c r="O4" s="34"/>
      <c r="P4" s="34"/>
    </row>
    <row r="5" customFormat="false" ht="15" hidden="false" customHeight="true" outlineLevel="0" collapsed="false">
      <c r="B5" s="40" t="s">
        <v>651</v>
      </c>
      <c r="D5" s="40" t="n">
        <v>1</v>
      </c>
      <c r="E5" s="40" t="n">
        <v>2</v>
      </c>
      <c r="F5" s="40" t="n">
        <v>3</v>
      </c>
      <c r="G5" s="40" t="n">
        <v>4</v>
      </c>
      <c r="H5" s="40" t="n">
        <v>5</v>
      </c>
      <c r="I5" s="40" t="n">
        <v>6</v>
      </c>
      <c r="J5" s="40" t="n">
        <v>7</v>
      </c>
      <c r="K5" s="40" t="n">
        <v>8</v>
      </c>
      <c r="L5" s="40" t="n">
        <v>9</v>
      </c>
      <c r="M5" s="40" t="n">
        <v>10</v>
      </c>
      <c r="N5" s="40" t="n">
        <v>11</v>
      </c>
      <c r="O5" s="40" t="n">
        <v>12</v>
      </c>
      <c r="P5" s="40" t="s">
        <v>652</v>
      </c>
    </row>
    <row r="6" customFormat="false" ht="15" hidden="false" customHeight="true" outlineLevel="0" collapsed="false">
      <c r="B6" s="4" t="s">
        <v>653</v>
      </c>
      <c r="D6" s="18" t="n">
        <v>0.05</v>
      </c>
      <c r="E6" s="18" t="n">
        <v>0.15</v>
      </c>
      <c r="F6" s="18" t="n">
        <v>0.3</v>
      </c>
      <c r="G6" s="18" t="n">
        <v>0.5</v>
      </c>
      <c r="H6" s="18" t="n">
        <v>0</v>
      </c>
      <c r="I6" s="18" t="n">
        <v>0</v>
      </c>
      <c r="J6" s="18" t="n">
        <v>0</v>
      </c>
      <c r="K6" s="18" t="n">
        <v>0</v>
      </c>
      <c r="L6" s="18" t="n">
        <v>0</v>
      </c>
      <c r="M6" s="18" t="n">
        <v>0</v>
      </c>
      <c r="N6" s="18" t="n">
        <v>0</v>
      </c>
      <c r="O6" s="18" t="n">
        <v>0</v>
      </c>
      <c r="P6" s="47" t="n">
        <f aca="false">SUM(D6:O6)</f>
        <v>1</v>
      </c>
    </row>
    <row r="7" customFormat="false" ht="15" hidden="false" customHeight="true" outlineLevel="0" collapsed="false">
      <c r="B7" s="4" t="s">
        <v>654</v>
      </c>
      <c r="D7" s="57" t="n">
        <f aca="false">$C$25*D6</f>
        <v>4.0066325</v>
      </c>
      <c r="E7" s="57" t="n">
        <f aca="false">$C$25*E6</f>
        <v>12.0198975</v>
      </c>
      <c r="F7" s="57" t="n">
        <f aca="false">$C$25*F6</f>
        <v>24.039795</v>
      </c>
      <c r="G7" s="57" t="n">
        <f aca="false">$C$25*G6</f>
        <v>40.066325</v>
      </c>
      <c r="H7" s="57" t="n">
        <f aca="false">$C$25*H6</f>
        <v>0</v>
      </c>
      <c r="I7" s="57" t="n">
        <f aca="false">$C$25*I6</f>
        <v>0</v>
      </c>
      <c r="J7" s="57" t="n">
        <f aca="false">$C$25*J6</f>
        <v>0</v>
      </c>
      <c r="K7" s="57" t="n">
        <f aca="false">$C$25*K6</f>
        <v>0</v>
      </c>
      <c r="L7" s="57" t="n">
        <f aca="false">$C$25*L6</f>
        <v>0</v>
      </c>
      <c r="M7" s="57" t="n">
        <f aca="false">$C$25*M6</f>
        <v>0</v>
      </c>
      <c r="N7" s="57" t="n">
        <f aca="false">$C$25*N6</f>
        <v>0</v>
      </c>
      <c r="O7" s="57" t="n">
        <f aca="false">$C$25*O6</f>
        <v>0</v>
      </c>
      <c r="P7" s="59" t="n">
        <f aca="false">SUM(D7:O7)</f>
        <v>80.13265</v>
      </c>
    </row>
    <row r="8" customFormat="false" ht="15" hidden="false" customHeight="true" outlineLevel="0" collapsed="false">
      <c r="B8" s="4" t="s">
        <v>655</v>
      </c>
      <c r="D8" s="57" t="n">
        <f aca="false">D7</f>
        <v>4.0066325</v>
      </c>
      <c r="E8" s="57" t="n">
        <f aca="false">D8+E7</f>
        <v>16.02653</v>
      </c>
      <c r="F8" s="57" t="n">
        <f aca="false">E8+F7</f>
        <v>40.066325</v>
      </c>
      <c r="G8" s="57" t="n">
        <f aca="false">F8+G7</f>
        <v>80.13265</v>
      </c>
      <c r="H8" s="57" t="n">
        <f aca="false">G8+H7</f>
        <v>80.13265</v>
      </c>
      <c r="I8" s="57" t="n">
        <f aca="false">H8+I7</f>
        <v>80.13265</v>
      </c>
      <c r="J8" s="57" t="n">
        <f aca="false">I8+J7</f>
        <v>80.13265</v>
      </c>
      <c r="K8" s="57" t="n">
        <f aca="false">J8+K7</f>
        <v>80.13265</v>
      </c>
      <c r="L8" s="57" t="n">
        <f aca="false">K8+L7</f>
        <v>80.13265</v>
      </c>
      <c r="M8" s="57" t="n">
        <f aca="false">L8+M7</f>
        <v>80.13265</v>
      </c>
      <c r="N8" s="57" t="n">
        <f aca="false">M8+N7</f>
        <v>80.13265</v>
      </c>
      <c r="O8" s="57" t="n">
        <f aca="false">N8+O7</f>
        <v>80.13265</v>
      </c>
    </row>
    <row r="9" customFormat="false" ht="15" hidden="false" customHeight="true" outlineLevel="0" collapsed="false">
      <c r="B9" s="40" t="s">
        <v>656</v>
      </c>
      <c r="D9" s="57" t="n">
        <f aca="false">MAX(0,D8-$C$25*(1-$C$26))</f>
        <v>0</v>
      </c>
      <c r="E9" s="57" t="n">
        <f aca="false">MAX(0,E8-$C$25*(1-$C$26))</f>
        <v>0</v>
      </c>
      <c r="F9" s="57" t="n">
        <f aca="false">MAX(0,F8-$C$25*(1-$C$26))</f>
        <v>13.4586278413889</v>
      </c>
      <c r="G9" s="57" t="n">
        <f aca="false">MAX(0,G8-$C$25*(1-$C$26))</f>
        <v>53.5249528413889</v>
      </c>
      <c r="H9" s="57" t="n">
        <f aca="false">MAX(0,H8-$C$25*(1-$C$26))</f>
        <v>53.5249528413889</v>
      </c>
      <c r="I9" s="57" t="n">
        <f aca="false">MAX(0,I8-$C$25*(1-$C$26))</f>
        <v>53.5249528413889</v>
      </c>
      <c r="J9" s="57" t="n">
        <f aca="false">MAX(0,J8-$C$25*(1-$C$26))</f>
        <v>53.5249528413889</v>
      </c>
      <c r="K9" s="57" t="n">
        <f aca="false">MAX(0,K8-$C$25*(1-$C$26))</f>
        <v>53.5249528413889</v>
      </c>
      <c r="L9" s="57" t="n">
        <f aca="false">MAX(0,L8-$C$25*(1-$C$26))</f>
        <v>53.5249528413889</v>
      </c>
      <c r="M9" s="57" t="n">
        <f aca="false">MAX(0,M8-$C$25*(1-$C$26))</f>
        <v>53.5249528413889</v>
      </c>
      <c r="N9" s="57" t="n">
        <f aca="false">MAX(0,N8-$C$25*(1-$C$26))</f>
        <v>53.5249528413889</v>
      </c>
      <c r="O9" s="57" t="n">
        <f aca="false">MAX(0,O8-$C$25*(1-$C$26))</f>
        <v>53.5249528413889</v>
      </c>
    </row>
    <row r="10" customFormat="false" ht="15" hidden="false" customHeight="true" outlineLevel="0" collapsed="false">
      <c r="B10" s="4" t="s">
        <v>657</v>
      </c>
      <c r="D10" s="57" t="n">
        <f aca="false">D9</f>
        <v>0</v>
      </c>
      <c r="E10" s="57" t="n">
        <f aca="false">E9-D9</f>
        <v>0</v>
      </c>
      <c r="F10" s="57" t="n">
        <f aca="false">F9-E9</f>
        <v>13.4586278413889</v>
      </c>
      <c r="G10" s="57" t="n">
        <f aca="false">G9-F9</f>
        <v>40.066325</v>
      </c>
      <c r="H10" s="57" t="n">
        <f aca="false">H9-G9</f>
        <v>0</v>
      </c>
      <c r="I10" s="57" t="n">
        <f aca="false">I9-H9</f>
        <v>0</v>
      </c>
      <c r="J10" s="57" t="n">
        <f aca="false">J9-I9</f>
        <v>0</v>
      </c>
      <c r="K10" s="57" t="n">
        <f aca="false">K9-J9</f>
        <v>0</v>
      </c>
      <c r="L10" s="57" t="n">
        <f aca="false">L9-K9</f>
        <v>0</v>
      </c>
      <c r="M10" s="57" t="n">
        <f aca="false">M9-L9</f>
        <v>0</v>
      </c>
      <c r="N10" s="57" t="n">
        <f aca="false">N9-M9</f>
        <v>0</v>
      </c>
      <c r="O10" s="57" t="n">
        <f aca="false">O9-N9</f>
        <v>0</v>
      </c>
      <c r="P10" s="59" t="n">
        <f aca="false">SUM(D10:O10)</f>
        <v>53.5249528413889</v>
      </c>
    </row>
    <row r="11" customFormat="false" ht="15" hidden="false" customHeight="true" outlineLevel="0" collapsed="false">
      <c r="B11" s="4" t="s">
        <v>658</v>
      </c>
      <c r="D11" s="57" t="n">
        <f aca="false">D7-D10</f>
        <v>4.0066325</v>
      </c>
      <c r="E11" s="57" t="n">
        <f aca="false">E7-E10</f>
        <v>12.0198975</v>
      </c>
      <c r="F11" s="57" t="n">
        <f aca="false">F7-F10</f>
        <v>10.5811671586111</v>
      </c>
      <c r="G11" s="57" t="n">
        <f aca="false">G7-G10</f>
        <v>0</v>
      </c>
      <c r="H11" s="57" t="n">
        <f aca="false">H7-H10</f>
        <v>0</v>
      </c>
      <c r="I11" s="57" t="n">
        <f aca="false">I7-I10</f>
        <v>0</v>
      </c>
      <c r="J11" s="57" t="n">
        <f aca="false">J7-J10</f>
        <v>0</v>
      </c>
      <c r="K11" s="57" t="n">
        <f aca="false">K7-K10</f>
        <v>0</v>
      </c>
      <c r="L11" s="57" t="n">
        <f aca="false">L7-L10</f>
        <v>0</v>
      </c>
      <c r="M11" s="57" t="n">
        <f aca="false">M7-M10</f>
        <v>0</v>
      </c>
      <c r="N11" s="57" t="n">
        <f aca="false">N7-N10</f>
        <v>0</v>
      </c>
      <c r="O11" s="57" t="n">
        <f aca="false">O7-O10</f>
        <v>0</v>
      </c>
      <c r="P11" s="59" t="n">
        <f aca="false">SUM(D11:O11)</f>
        <v>26.6076971586111</v>
      </c>
    </row>
    <row r="12" customFormat="false" ht="15" hidden="false" customHeight="true" outlineLevel="0" collapsed="false">
      <c r="B12" s="4" t="s">
        <v>659</v>
      </c>
      <c r="D12" s="57" t="n">
        <f aca="false">IF(D$5&lt;=Inputs!$C$35,(0+D9)/2*Inputs!$C$51/12,0)</f>
        <v>0</v>
      </c>
      <c r="E12" s="57" t="n">
        <f aca="false">IF(E$5&lt;=Inputs!$C$35,(D9+E9)/2*Inputs!$C$51/12,0)</f>
        <v>0</v>
      </c>
      <c r="F12" s="57" t="n">
        <f aca="false">IF(F$5&lt;=Inputs!$C$35,(E9+F9)/2*Inputs!$C$51/12,0)</f>
        <v>0.0588814968060765</v>
      </c>
      <c r="G12" s="57" t="n">
        <f aca="false">IF(G$5&lt;=Inputs!$C$35,(F9+G9)/2*Inputs!$C$51/12,0)</f>
        <v>0.293053165487153</v>
      </c>
      <c r="H12" s="57" t="n">
        <f aca="false">IF(H$5&lt;=Inputs!$C$35,(G9+H9)/2*Inputs!$C$51/12,0)</f>
        <v>0</v>
      </c>
      <c r="I12" s="57" t="n">
        <f aca="false">IF(I$5&lt;=Inputs!$C$35,(H9+I9)/2*Inputs!$C$51/12,0)</f>
        <v>0</v>
      </c>
      <c r="J12" s="57" t="n">
        <f aca="false">IF(J$5&lt;=Inputs!$C$35,(I9+J9)/2*Inputs!$C$51/12,0)</f>
        <v>0</v>
      </c>
      <c r="K12" s="57" t="n">
        <f aca="false">IF(K$5&lt;=Inputs!$C$35,(J9+K9)/2*Inputs!$C$51/12,0)</f>
        <v>0</v>
      </c>
      <c r="L12" s="57" t="n">
        <f aca="false">IF(L$5&lt;=Inputs!$C$35,(K9+L9)/2*Inputs!$C$51/12,0)</f>
        <v>0</v>
      </c>
      <c r="M12" s="57" t="n">
        <f aca="false">IF(M$5&lt;=Inputs!$C$35,(L9+M9)/2*Inputs!$C$51/12,0)</f>
        <v>0</v>
      </c>
      <c r="N12" s="57" t="n">
        <f aca="false">IF(N$5&lt;=Inputs!$C$35,(M9+N9)/2*Inputs!$C$51/12,0)</f>
        <v>0</v>
      </c>
      <c r="O12" s="57" t="n">
        <f aca="false">IF(O$5&lt;=Inputs!$C$35,(N9+O9)/2*Inputs!$C$51/12,0)</f>
        <v>0</v>
      </c>
      <c r="P12" s="59" t="n">
        <f aca="false">SUM(D12:O12)</f>
        <v>0.35193466229323</v>
      </c>
    </row>
    <row r="13" customFormat="false" ht="15" hidden="false" customHeight="true" outlineLevel="0" collapsed="false">
      <c r="B13" s="4" t="s">
        <v>660</v>
      </c>
      <c r="D13" s="57" t="n">
        <f aca="false">IF(D$5&lt;=Inputs!$C$35,D11*Inputs!$C$37*(Inputs!$C$35-D$5+0.5)/12,0)</f>
        <v>0.146075143229167</v>
      </c>
      <c r="E13" s="57" t="n">
        <f aca="false">IF(E$5&lt;=Inputs!$C$35,E11*Inputs!$C$37*(Inputs!$C$35-E$5+0.5)/12,0)</f>
        <v>0.3130181640625</v>
      </c>
      <c r="F13" s="57" t="n">
        <f aca="false">IF(F$5&lt;=Inputs!$C$35,F11*Inputs!$C$37*(Inputs!$C$35-F$5+0.5)/12,0)</f>
        <v>0.165330736853298</v>
      </c>
      <c r="G13" s="57" t="n">
        <f aca="false">IF(G$5&lt;=Inputs!$C$35,G11*Inputs!$C$37*(Inputs!$C$35-G$5+0.5)/12,0)</f>
        <v>0</v>
      </c>
      <c r="H13" s="57" t="n">
        <f aca="false">IF(H$5&lt;=Inputs!$C$35,H11*Inputs!$C$37*(Inputs!$C$35-H$5+0.5)/12,0)</f>
        <v>0</v>
      </c>
      <c r="I13" s="57" t="n">
        <f aca="false">IF(I$5&lt;=Inputs!$C$35,I11*Inputs!$C$37*(Inputs!$C$35-I$5+0.5)/12,0)</f>
        <v>0</v>
      </c>
      <c r="J13" s="57" t="n">
        <f aca="false">IF(J$5&lt;=Inputs!$C$35,J11*Inputs!$C$37*(Inputs!$C$35-J$5+0.5)/12,0)</f>
        <v>0</v>
      </c>
      <c r="K13" s="57" t="n">
        <f aca="false">IF(K$5&lt;=Inputs!$C$35,K11*Inputs!$C$37*(Inputs!$C$35-K$5+0.5)/12,0)</f>
        <v>0</v>
      </c>
      <c r="L13" s="57" t="n">
        <f aca="false">IF(L$5&lt;=Inputs!$C$35,L11*Inputs!$C$37*(Inputs!$C$35-L$5+0.5)/12,0)</f>
        <v>0</v>
      </c>
      <c r="M13" s="57" t="n">
        <f aca="false">IF(M$5&lt;=Inputs!$C$35,M11*Inputs!$C$37*(Inputs!$C$35-M$5+0.5)/12,0)</f>
        <v>0</v>
      </c>
      <c r="N13" s="57" t="n">
        <f aca="false">IF(N$5&lt;=Inputs!$C$35,N11*Inputs!$C$37*(Inputs!$C$35-N$5+0.5)/12,0)</f>
        <v>0</v>
      </c>
      <c r="O13" s="57" t="n">
        <f aca="false">IF(O$5&lt;=Inputs!$C$35,O11*Inputs!$C$37*(Inputs!$C$35-O$5+0.5)/12,0)</f>
        <v>0</v>
      </c>
      <c r="P13" s="59" t="n">
        <f aca="false">SUM(D13:O13)</f>
        <v>0.624424044144965</v>
      </c>
    </row>
    <row r="14" customFormat="false" ht="15" hidden="false" customHeight="true" outlineLevel="0" collapsed="false">
      <c r="B14" s="40" t="s">
        <v>661</v>
      </c>
      <c r="D14" s="57" t="n">
        <f aca="false">D8*$C$26</f>
        <v>2.67624764206945</v>
      </c>
      <c r="E14" s="57" t="n">
        <f aca="false">E8*$C$26</f>
        <v>10.7049905682778</v>
      </c>
      <c r="F14" s="57" t="n">
        <f aca="false">F8*$C$26</f>
        <v>26.7624764206945</v>
      </c>
      <c r="G14" s="57" t="n">
        <f aca="false">G8*$C$26</f>
        <v>53.5249528413889</v>
      </c>
      <c r="H14" s="57" t="n">
        <f aca="false">H8*$C$26</f>
        <v>53.5249528413889</v>
      </c>
      <c r="I14" s="57" t="n">
        <f aca="false">I8*$C$26</f>
        <v>53.5249528413889</v>
      </c>
      <c r="J14" s="57" t="n">
        <f aca="false">J8*$C$26</f>
        <v>53.5249528413889</v>
      </c>
      <c r="K14" s="57" t="n">
        <f aca="false">K8*$C$26</f>
        <v>53.5249528413889</v>
      </c>
      <c r="L14" s="57" t="n">
        <f aca="false">L8*$C$26</f>
        <v>53.5249528413889</v>
      </c>
      <c r="M14" s="57" t="n">
        <f aca="false">M8*$C$26</f>
        <v>53.5249528413889</v>
      </c>
      <c r="N14" s="57" t="n">
        <f aca="false">N8*$C$26</f>
        <v>53.5249528413889</v>
      </c>
      <c r="O14" s="57" t="n">
        <f aca="false">O8*$C$26</f>
        <v>53.5249528413889</v>
      </c>
    </row>
    <row r="15" customFormat="false" ht="15" hidden="false" customHeight="true" outlineLevel="0" collapsed="false">
      <c r="B15" s="4" t="s">
        <v>657</v>
      </c>
      <c r="D15" s="57" t="n">
        <f aca="false">D14</f>
        <v>2.67624764206945</v>
      </c>
      <c r="E15" s="57" t="n">
        <f aca="false">E14-D14</f>
        <v>8.02874292620834</v>
      </c>
      <c r="F15" s="57" t="n">
        <f aca="false">F14-E14</f>
        <v>16.0574858524167</v>
      </c>
      <c r="G15" s="57" t="n">
        <f aca="false">G14-F14</f>
        <v>26.7624764206945</v>
      </c>
      <c r="H15" s="57" t="n">
        <f aca="false">H14-G14</f>
        <v>0</v>
      </c>
      <c r="I15" s="57" t="n">
        <f aca="false">I14-H14</f>
        <v>0</v>
      </c>
      <c r="J15" s="57" t="n">
        <f aca="false">J14-I14</f>
        <v>0</v>
      </c>
      <c r="K15" s="57" t="n">
        <f aca="false">K14-J14</f>
        <v>0</v>
      </c>
      <c r="L15" s="57" t="n">
        <f aca="false">L14-K14</f>
        <v>0</v>
      </c>
      <c r="M15" s="57" t="n">
        <f aca="false">M14-L14</f>
        <v>0</v>
      </c>
      <c r="N15" s="57" t="n">
        <f aca="false">N14-M14</f>
        <v>0</v>
      </c>
      <c r="O15" s="57" t="n">
        <f aca="false">O14-N14</f>
        <v>0</v>
      </c>
      <c r="P15" s="59" t="n">
        <f aca="false">SUM(D15:O15)</f>
        <v>53.5249528413889</v>
      </c>
    </row>
    <row r="16" customFormat="false" ht="15" hidden="false" customHeight="true" outlineLevel="0" collapsed="false">
      <c r="B16" s="4" t="s">
        <v>658</v>
      </c>
      <c r="D16" s="57" t="n">
        <f aca="false">D7-D15</f>
        <v>1.33038485793055</v>
      </c>
      <c r="E16" s="57" t="n">
        <f aca="false">E7-E15</f>
        <v>3.99115457379166</v>
      </c>
      <c r="F16" s="57" t="n">
        <f aca="false">F7-F15</f>
        <v>7.98230914758332</v>
      </c>
      <c r="G16" s="57" t="n">
        <f aca="false">G7-G15</f>
        <v>13.3038485793055</v>
      </c>
      <c r="H16" s="57" t="n">
        <f aca="false">H7-H15</f>
        <v>0</v>
      </c>
      <c r="I16" s="57" t="n">
        <f aca="false">I7-I15</f>
        <v>0</v>
      </c>
      <c r="J16" s="57" t="n">
        <f aca="false">J7-J15</f>
        <v>0</v>
      </c>
      <c r="K16" s="57" t="n">
        <f aca="false">K7-K15</f>
        <v>0</v>
      </c>
      <c r="L16" s="57" t="n">
        <f aca="false">L7-L15</f>
        <v>0</v>
      </c>
      <c r="M16" s="57" t="n">
        <f aca="false">M7-M15</f>
        <v>0</v>
      </c>
      <c r="N16" s="57" t="n">
        <f aca="false">N7-N15</f>
        <v>0</v>
      </c>
      <c r="O16" s="57" t="n">
        <f aca="false">O7-O15</f>
        <v>0</v>
      </c>
      <c r="P16" s="59" t="n">
        <f aca="false">SUM(D16:O16)</f>
        <v>26.6076971586111</v>
      </c>
    </row>
    <row r="17" customFormat="false" ht="15" hidden="false" customHeight="true" outlineLevel="0" collapsed="false">
      <c r="B17" s="4" t="s">
        <v>659</v>
      </c>
      <c r="D17" s="57" t="n">
        <f aca="false">IF(D$5&lt;=Inputs!$C$35,(0+D14)/2*Inputs!$C$51/12,0)</f>
        <v>0.0117085834340538</v>
      </c>
      <c r="E17" s="57" t="n">
        <f aca="false">IF(E$5&lt;=Inputs!$C$35,(D14+E14)/2*Inputs!$C$51/12,0)</f>
        <v>0.0585429171702691</v>
      </c>
      <c r="F17" s="57" t="n">
        <f aca="false">IF(F$5&lt;=Inputs!$C$35,(E14+F14)/2*Inputs!$C$51/12,0)</f>
        <v>0.163920168076754</v>
      </c>
      <c r="G17" s="57" t="n">
        <f aca="false">IF(G$5&lt;=Inputs!$C$35,(F14+G14)/2*Inputs!$C$51/12,0)</f>
        <v>0.351257503021615</v>
      </c>
      <c r="H17" s="57" t="n">
        <f aca="false">IF(H$5&lt;=Inputs!$C$35,(G14+H14)/2*Inputs!$C$51/12,0)</f>
        <v>0</v>
      </c>
      <c r="I17" s="57" t="n">
        <f aca="false">IF(I$5&lt;=Inputs!$C$35,(H14+I14)/2*Inputs!$C$51/12,0)</f>
        <v>0</v>
      </c>
      <c r="J17" s="57" t="n">
        <f aca="false">IF(J$5&lt;=Inputs!$C$35,(I14+J14)/2*Inputs!$C$51/12,0)</f>
        <v>0</v>
      </c>
      <c r="K17" s="57" t="n">
        <f aca="false">IF(K$5&lt;=Inputs!$C$35,(J14+K14)/2*Inputs!$C$51/12,0)</f>
        <v>0</v>
      </c>
      <c r="L17" s="57" t="n">
        <f aca="false">IF(L$5&lt;=Inputs!$C$35,(K14+L14)/2*Inputs!$C$51/12,0)</f>
        <v>0</v>
      </c>
      <c r="M17" s="57" t="n">
        <f aca="false">IF(M$5&lt;=Inputs!$C$35,(L14+M14)/2*Inputs!$C$51/12,0)</f>
        <v>0</v>
      </c>
      <c r="N17" s="57" t="n">
        <f aca="false">IF(N$5&lt;=Inputs!$C$35,(M14+N14)/2*Inputs!$C$51/12,0)</f>
        <v>0</v>
      </c>
      <c r="O17" s="57" t="n">
        <f aca="false">IF(O$5&lt;=Inputs!$C$35,(N14+O14)/2*Inputs!$C$51/12,0)</f>
        <v>0</v>
      </c>
      <c r="P17" s="59" t="n">
        <f aca="false">SUM(D17:O17)</f>
        <v>0.585429171702691</v>
      </c>
    </row>
    <row r="18" customFormat="false" ht="15" hidden="false" customHeight="true" outlineLevel="0" collapsed="false">
      <c r="B18" s="4" t="s">
        <v>660</v>
      </c>
      <c r="D18" s="57" t="n">
        <f aca="false">IF(D$5&lt;=Inputs!$C$35,D16*Inputs!$C$37*(Inputs!$C$35-D$5+0.5)/12,0)</f>
        <v>0.0485036146120515</v>
      </c>
      <c r="E18" s="57" t="n">
        <f aca="false">IF(E$5&lt;=Inputs!$C$35,E16*Inputs!$C$37*(Inputs!$C$35-E$5+0.5)/12,0)</f>
        <v>0.103936317025825</v>
      </c>
      <c r="F18" s="57" t="n">
        <f aca="false">IF(F$5&lt;=Inputs!$C$35,F16*Inputs!$C$37*(Inputs!$C$35-F$5+0.5)/12,0)</f>
        <v>0.124723580430989</v>
      </c>
      <c r="G18" s="57" t="n">
        <f aca="false">IF(G$5&lt;=Inputs!$C$35,G16*Inputs!$C$37*(Inputs!$C$35-G$5+0.5)/12,0)</f>
        <v>0.0692908780172164</v>
      </c>
      <c r="H18" s="57" t="n">
        <f aca="false">IF(H$5&lt;=Inputs!$C$35,H16*Inputs!$C$37*(Inputs!$C$35-H$5+0.5)/12,0)</f>
        <v>0</v>
      </c>
      <c r="I18" s="57" t="n">
        <f aca="false">IF(I$5&lt;=Inputs!$C$35,I16*Inputs!$C$37*(Inputs!$C$35-I$5+0.5)/12,0)</f>
        <v>0</v>
      </c>
      <c r="J18" s="57" t="n">
        <f aca="false">IF(J$5&lt;=Inputs!$C$35,J16*Inputs!$C$37*(Inputs!$C$35-J$5+0.5)/12,0)</f>
        <v>0</v>
      </c>
      <c r="K18" s="57" t="n">
        <f aca="false">IF(K$5&lt;=Inputs!$C$35,K16*Inputs!$C$37*(Inputs!$C$35-K$5+0.5)/12,0)</f>
        <v>0</v>
      </c>
      <c r="L18" s="57" t="n">
        <f aca="false">IF(L$5&lt;=Inputs!$C$35,L16*Inputs!$C$37*(Inputs!$C$35-L$5+0.5)/12,0)</f>
        <v>0</v>
      </c>
      <c r="M18" s="57" t="n">
        <f aca="false">IF(M$5&lt;=Inputs!$C$35,M16*Inputs!$C$37*(Inputs!$C$35-M$5+0.5)/12,0)</f>
        <v>0</v>
      </c>
      <c r="N18" s="57" t="n">
        <f aca="false">IF(N$5&lt;=Inputs!$C$35,N16*Inputs!$C$37*(Inputs!$C$35-N$5+0.5)/12,0)</f>
        <v>0</v>
      </c>
      <c r="O18" s="57" t="n">
        <f aca="false">IF(O$5&lt;=Inputs!$C$35,O16*Inputs!$C$37*(Inputs!$C$35-O$5+0.5)/12,0)</f>
        <v>0</v>
      </c>
      <c r="P18" s="59" t="n">
        <f aca="false">SUM(D18:O18)</f>
        <v>0.346454390086082</v>
      </c>
    </row>
    <row r="19" customFormat="false" ht="15" hidden="false" customHeight="true" outlineLevel="0" collapsed="false">
      <c r="B19" s="40" t="s">
        <v>662</v>
      </c>
      <c r="D19" s="57" t="n">
        <f aca="false">MIN(D8,$C$27)</f>
        <v>4.0066325</v>
      </c>
      <c r="E19" s="57" t="n">
        <f aca="false">MIN(E8,$C$27)</f>
        <v>16.02653</v>
      </c>
      <c r="F19" s="57" t="n">
        <f aca="false">MIN(F8,$C$27)</f>
        <v>40.066325</v>
      </c>
      <c r="G19" s="57" t="n">
        <f aca="false">MIN(G8,$C$27)</f>
        <v>53.5249528413889</v>
      </c>
      <c r="H19" s="57" t="n">
        <f aca="false">MIN(H8,$C$27)</f>
        <v>53.5249528413889</v>
      </c>
      <c r="I19" s="57" t="n">
        <f aca="false">MIN(I8,$C$27)</f>
        <v>53.5249528413889</v>
      </c>
      <c r="J19" s="57" t="n">
        <f aca="false">MIN(J8,$C$27)</f>
        <v>53.5249528413889</v>
      </c>
      <c r="K19" s="57" t="n">
        <f aca="false">MIN(K8,$C$27)</f>
        <v>53.5249528413889</v>
      </c>
      <c r="L19" s="57" t="n">
        <f aca="false">MIN(L8,$C$27)</f>
        <v>53.5249528413889</v>
      </c>
      <c r="M19" s="57" t="n">
        <f aca="false">MIN(M8,$C$27)</f>
        <v>53.5249528413889</v>
      </c>
      <c r="N19" s="57" t="n">
        <f aca="false">MIN(N8,$C$27)</f>
        <v>53.5249528413889</v>
      </c>
      <c r="O19" s="57" t="n">
        <f aca="false">MIN(O8,$C$27)</f>
        <v>53.5249528413889</v>
      </c>
    </row>
    <row r="20" customFormat="false" ht="15" hidden="false" customHeight="true" outlineLevel="0" collapsed="false">
      <c r="B20" s="4" t="s">
        <v>657</v>
      </c>
      <c r="D20" s="57" t="n">
        <f aca="false">D19</f>
        <v>4.0066325</v>
      </c>
      <c r="E20" s="57" t="n">
        <f aca="false">E19-D19</f>
        <v>12.0198975</v>
      </c>
      <c r="F20" s="57" t="n">
        <f aca="false">F19-E19</f>
        <v>24.039795</v>
      </c>
      <c r="G20" s="57" t="n">
        <f aca="false">G19-F19</f>
        <v>13.4586278413889</v>
      </c>
      <c r="H20" s="57" t="n">
        <f aca="false">H19-G19</f>
        <v>0</v>
      </c>
      <c r="I20" s="57" t="n">
        <f aca="false">I19-H19</f>
        <v>0</v>
      </c>
      <c r="J20" s="57" t="n">
        <f aca="false">J19-I19</f>
        <v>0</v>
      </c>
      <c r="K20" s="57" t="n">
        <f aca="false">K19-J19</f>
        <v>0</v>
      </c>
      <c r="L20" s="57" t="n">
        <f aca="false">L19-K19</f>
        <v>0</v>
      </c>
      <c r="M20" s="57" t="n">
        <f aca="false">M19-L19</f>
        <v>0</v>
      </c>
      <c r="N20" s="57" t="n">
        <f aca="false">N19-M19</f>
        <v>0</v>
      </c>
      <c r="O20" s="57" t="n">
        <f aca="false">O19-N19</f>
        <v>0</v>
      </c>
      <c r="P20" s="59" t="n">
        <f aca="false">SUM(D20:O20)</f>
        <v>53.5249528413889</v>
      </c>
    </row>
    <row r="21" customFormat="false" ht="15" hidden="false" customHeight="true" outlineLevel="0" collapsed="false">
      <c r="B21" s="4" t="s">
        <v>658</v>
      </c>
      <c r="D21" s="57" t="n">
        <f aca="false">D7-D20</f>
        <v>0</v>
      </c>
      <c r="E21" s="57" t="n">
        <f aca="false">E7-E20</f>
        <v>0</v>
      </c>
      <c r="F21" s="57" t="n">
        <f aca="false">F7-F20</f>
        <v>0</v>
      </c>
      <c r="G21" s="57" t="n">
        <f aca="false">G7-G20</f>
        <v>26.6076971586111</v>
      </c>
      <c r="H21" s="57" t="n">
        <f aca="false">H7-H20</f>
        <v>0</v>
      </c>
      <c r="I21" s="57" t="n">
        <f aca="false">I7-I20</f>
        <v>0</v>
      </c>
      <c r="J21" s="57" t="n">
        <f aca="false">J7-J20</f>
        <v>0</v>
      </c>
      <c r="K21" s="57" t="n">
        <f aca="false">K7-K20</f>
        <v>0</v>
      </c>
      <c r="L21" s="57" t="n">
        <f aca="false">L7-L20</f>
        <v>0</v>
      </c>
      <c r="M21" s="57" t="n">
        <f aca="false">M7-M20</f>
        <v>0</v>
      </c>
      <c r="N21" s="57" t="n">
        <f aca="false">N7-N20</f>
        <v>0</v>
      </c>
      <c r="O21" s="57" t="n">
        <f aca="false">O7-O20</f>
        <v>0</v>
      </c>
      <c r="P21" s="59" t="n">
        <f aca="false">SUM(D21:O21)</f>
        <v>26.6076971586111</v>
      </c>
    </row>
    <row r="22" customFormat="false" ht="15" hidden="false" customHeight="true" outlineLevel="0" collapsed="false">
      <c r="B22" s="4" t="s">
        <v>659</v>
      </c>
      <c r="D22" s="57" t="n">
        <f aca="false">IF(D$5&lt;=Inputs!$C$35,(0+D19)/2*Inputs!$C$51/12,0)</f>
        <v>0.0175290171875</v>
      </c>
      <c r="E22" s="57" t="n">
        <f aca="false">IF(E$5&lt;=Inputs!$C$35,(D19+E19)/2*Inputs!$C$51/12,0)</f>
        <v>0.0876450859375</v>
      </c>
      <c r="F22" s="57" t="n">
        <f aca="false">IF(F$5&lt;=Inputs!$C$35,(E19+F19)/2*Inputs!$C$51/12,0)</f>
        <v>0.245406240625</v>
      </c>
      <c r="G22" s="57" t="n">
        <f aca="false">IF(G$5&lt;=Inputs!$C$35,(F19+G19)/2*Inputs!$C$51/12,0)</f>
        <v>0.409461840556077</v>
      </c>
      <c r="H22" s="57" t="n">
        <f aca="false">IF(H$5&lt;=Inputs!$C$35,(G19+H19)/2*Inputs!$C$51/12,0)</f>
        <v>0</v>
      </c>
      <c r="I22" s="57" t="n">
        <f aca="false">IF(I$5&lt;=Inputs!$C$35,(H19+I19)/2*Inputs!$C$51/12,0)</f>
        <v>0</v>
      </c>
      <c r="J22" s="57" t="n">
        <f aca="false">IF(J$5&lt;=Inputs!$C$35,(I19+J19)/2*Inputs!$C$51/12,0)</f>
        <v>0</v>
      </c>
      <c r="K22" s="57" t="n">
        <f aca="false">IF(K$5&lt;=Inputs!$C$35,(J19+K19)/2*Inputs!$C$51/12,0)</f>
        <v>0</v>
      </c>
      <c r="L22" s="57" t="n">
        <f aca="false">IF(L$5&lt;=Inputs!$C$35,(K19+L19)/2*Inputs!$C$51/12,0)</f>
        <v>0</v>
      </c>
      <c r="M22" s="57" t="n">
        <f aca="false">IF(M$5&lt;=Inputs!$C$35,(L19+M19)/2*Inputs!$C$51/12,0)</f>
        <v>0</v>
      </c>
      <c r="N22" s="57" t="n">
        <f aca="false">IF(N$5&lt;=Inputs!$C$35,(M19+N19)/2*Inputs!$C$51/12,0)</f>
        <v>0</v>
      </c>
      <c r="O22" s="57" t="n">
        <f aca="false">IF(O$5&lt;=Inputs!$C$35,(N19+O19)/2*Inputs!$C$51/12,0)</f>
        <v>0</v>
      </c>
      <c r="P22" s="59" t="n">
        <f aca="false">SUM(D22:O22)</f>
        <v>0.760042184306077</v>
      </c>
    </row>
    <row r="23" customFormat="false" ht="15" hidden="false" customHeight="true" outlineLevel="0" collapsed="false">
      <c r="B23" s="4" t="s">
        <v>660</v>
      </c>
      <c r="D23" s="57" t="n">
        <f aca="false">IF(D$5&lt;=Inputs!$C$35,D21*Inputs!$C$37*(Inputs!$C$35-D$5+0.5)/12,0)</f>
        <v>0</v>
      </c>
      <c r="E23" s="57" t="n">
        <f aca="false">IF(E$5&lt;=Inputs!$C$35,E21*Inputs!$C$37*(Inputs!$C$35-E$5+0.5)/12,0)</f>
        <v>0</v>
      </c>
      <c r="F23" s="57" t="n">
        <f aca="false">IF(F$5&lt;=Inputs!$C$35,F21*Inputs!$C$37*(Inputs!$C$35-F$5+0.5)/12,0)</f>
        <v>0</v>
      </c>
      <c r="G23" s="57" t="n">
        <f aca="false">IF(G$5&lt;=Inputs!$C$35,G21*Inputs!$C$37*(Inputs!$C$35-G$5+0.5)/12,0)</f>
        <v>0.138581756034433</v>
      </c>
      <c r="H23" s="57" t="n">
        <f aca="false">IF(H$5&lt;=Inputs!$C$35,H21*Inputs!$C$37*(Inputs!$C$35-H$5+0.5)/12,0)</f>
        <v>0</v>
      </c>
      <c r="I23" s="57" t="n">
        <f aca="false">IF(I$5&lt;=Inputs!$C$35,I21*Inputs!$C$37*(Inputs!$C$35-I$5+0.5)/12,0)</f>
        <v>0</v>
      </c>
      <c r="J23" s="57" t="n">
        <f aca="false">IF(J$5&lt;=Inputs!$C$35,J21*Inputs!$C$37*(Inputs!$C$35-J$5+0.5)/12,0)</f>
        <v>0</v>
      </c>
      <c r="K23" s="57" t="n">
        <f aca="false">IF(K$5&lt;=Inputs!$C$35,K21*Inputs!$C$37*(Inputs!$C$35-K$5+0.5)/12,0)</f>
        <v>0</v>
      </c>
      <c r="L23" s="57" t="n">
        <f aca="false">IF(L$5&lt;=Inputs!$C$35,L21*Inputs!$C$37*(Inputs!$C$35-L$5+0.5)/12,0)</f>
        <v>0</v>
      </c>
      <c r="M23" s="57" t="n">
        <f aca="false">IF(M$5&lt;=Inputs!$C$35,M21*Inputs!$C$37*(Inputs!$C$35-M$5+0.5)/12,0)</f>
        <v>0</v>
      </c>
      <c r="N23" s="57" t="n">
        <f aca="false">IF(N$5&lt;=Inputs!$C$35,N21*Inputs!$C$37*(Inputs!$C$35-N$5+0.5)/12,0)</f>
        <v>0</v>
      </c>
      <c r="O23" s="57" t="n">
        <f aca="false">IF(O$5&lt;=Inputs!$C$35,O21*Inputs!$C$37*(Inputs!$C$35-O$5+0.5)/12,0)</f>
        <v>0</v>
      </c>
      <c r="P23" s="59" t="n">
        <f aca="false">SUM(D23:O23)</f>
        <v>0.138581756034433</v>
      </c>
    </row>
    <row r="25" customFormat="false" ht="15" hidden="false" customHeight="true" outlineLevel="0" collapsed="false">
      <c r="B25" s="40" t="s">
        <v>26</v>
      </c>
      <c r="C25" s="12" t="n">
        <f aca="false">'Sources &amp; Uses'!$C$11</f>
        <v>80.13265</v>
      </c>
    </row>
    <row r="26" customFormat="false" ht="15" hidden="false" customHeight="true" outlineLevel="0" collapsed="false">
      <c r="B26" s="40" t="s">
        <v>663</v>
      </c>
      <c r="C26" s="46" t="n">
        <f aca="false">MIN(Inputs!$C$52,'Sources &amp; Uses'!$C$18/'Sources &amp; Uses'!$C$11)</f>
        <v>0.667954358696348</v>
      </c>
    </row>
    <row r="27" customFormat="false" ht="15" hidden="false" customHeight="true" outlineLevel="0" collapsed="false">
      <c r="B27" s="40" t="s">
        <v>664</v>
      </c>
      <c r="C27" s="12" t="n">
        <f aca="false">C25*C26</f>
        <v>53.5249528413889</v>
      </c>
    </row>
    <row r="29" customFormat="false" ht="15" hidden="false" customHeight="true" outlineLevel="0" collapsed="false">
      <c r="B29" s="5" t="s">
        <v>665</v>
      </c>
      <c r="D29" s="5" t="s">
        <v>666</v>
      </c>
      <c r="E29" s="5" t="s">
        <v>667</v>
      </c>
      <c r="F29" s="5" t="s">
        <v>668</v>
      </c>
      <c r="G29" s="5" t="s">
        <v>669</v>
      </c>
      <c r="H29" s="5" t="s">
        <v>670</v>
      </c>
    </row>
    <row r="30" customFormat="false" ht="15" hidden="false" customHeight="true" outlineLevel="0" collapsed="false">
      <c r="B30" s="1" t="s">
        <v>671</v>
      </c>
      <c r="D30" s="12" t="n">
        <f aca="false">P12</f>
        <v>0.35193466229323</v>
      </c>
      <c r="E30" s="12" t="n">
        <f aca="false">P13</f>
        <v>0.624424044144965</v>
      </c>
      <c r="F30" s="12" t="n">
        <f aca="false">D30+E30</f>
        <v>0.976358706438194</v>
      </c>
      <c r="G30" s="60" t="n">
        <f aca="false">IF(P11=0,0,SUMPRODUCT($D$5:$O$5,D11:O11)/P11)</f>
        <v>2.24709145701034</v>
      </c>
      <c r="H30" s="12" t="n">
        <f aca="false">SUM(D11:E11)</f>
        <v>16.02653</v>
      </c>
    </row>
    <row r="31" customFormat="false" ht="15" hidden="false" customHeight="true" outlineLevel="0" collapsed="false">
      <c r="B31" s="1" t="s">
        <v>672</v>
      </c>
      <c r="D31" s="12" t="n">
        <f aca="false">P17</f>
        <v>0.585429171702691</v>
      </c>
      <c r="E31" s="12" t="n">
        <f aca="false">P18</f>
        <v>0.346454390086082</v>
      </c>
      <c r="F31" s="12" t="n">
        <f aca="false">D31+E31</f>
        <v>0.931883561788773</v>
      </c>
      <c r="G31" s="60" t="n">
        <f aca="false">IF(P16=0,0,SUMPRODUCT($D$5:$O$5,D16:O16)/P16)</f>
        <v>3.25</v>
      </c>
      <c r="H31" s="12" t="n">
        <f aca="false">SUM(D16:E16)</f>
        <v>5.32153943172222</v>
      </c>
    </row>
    <row r="32" customFormat="false" ht="15" hidden="false" customHeight="true" outlineLevel="0" collapsed="false">
      <c r="B32" s="1" t="s">
        <v>673</v>
      </c>
      <c r="D32" s="12" t="n">
        <f aca="false">P22</f>
        <v>0.760042184306077</v>
      </c>
      <c r="E32" s="12" t="n">
        <f aca="false">P23</f>
        <v>0.138581756034433</v>
      </c>
      <c r="F32" s="12" t="n">
        <f aca="false">D32+E32</f>
        <v>0.898623940340509</v>
      </c>
      <c r="G32" s="60" t="n">
        <f aca="false">IF(P21=0,0,SUMPRODUCT($D$5:$O$5,D21:O21)/P21)</f>
        <v>4</v>
      </c>
      <c r="H32" s="12" t="n">
        <f aca="false">SUM(D21:E21)</f>
        <v>0</v>
      </c>
    </row>
    <row r="34" customFormat="false" ht="15" hidden="false" customHeight="true" outlineLevel="0" collapsed="false">
      <c r="B34" s="40" t="s">
        <v>674</v>
      </c>
      <c r="C34" s="41" t="n">
        <f aca="false">IF(Inputs!$C$36=0,MATCH(MIN(F30:F32),F30:F32,0),Inputs!$C$36)</f>
        <v>3</v>
      </c>
    </row>
    <row r="35" customFormat="false" ht="15" hidden="false" customHeight="true" outlineLevel="0" collapsed="false">
      <c r="B35" s="40" t="s">
        <v>675</v>
      </c>
      <c r="C35" s="40" t="str">
        <f aca="false">CHOOSE(C34,"Equity first","Pro-rata","Debt first")</f>
        <v>Debt first</v>
      </c>
    </row>
    <row r="36" customFormat="false" ht="15" hidden="false" customHeight="true" outlineLevel="0" collapsed="false">
      <c r="B36" s="40" t="s">
        <v>676</v>
      </c>
      <c r="C36" s="61" t="n">
        <f aca="false">IF($C$27=0,0,INDEX(D30:D32,C34)/$C$27)</f>
        <v>0.0141997730770229</v>
      </c>
    </row>
    <row r="37" customFormat="false" ht="15" hidden="false" customHeight="true" outlineLevel="0" collapsed="false">
      <c r="B37" s="40" t="s">
        <v>677</v>
      </c>
      <c r="C37" s="60" t="n">
        <f aca="false">INDEX(G30:G32,C34)</f>
        <v>4</v>
      </c>
    </row>
    <row r="38" customFormat="false" ht="15" hidden="false" customHeight="true" outlineLevel="0" collapsed="false">
      <c r="B38" s="40" t="s">
        <v>678</v>
      </c>
      <c r="C38" s="62" t="n">
        <f aca="false">MAX(0,(12-(Inputs!$C$8-1)-C37+0.5)/12)</f>
        <v>0.458333333333333</v>
      </c>
    </row>
    <row r="39" customFormat="false" ht="15" hidden="false" customHeight="true" outlineLevel="0" collapsed="false">
      <c r="B39" s="40" t="s">
        <v>679</v>
      </c>
      <c r="C39" s="40" t="str">
        <f aca="false">CHOOSE(MATCH(MIN(F30:F32),F30:F32,0),"Equity first","Pro-rata","Debt first")</f>
        <v>Debt first</v>
      </c>
    </row>
    <row r="42" customFormat="false" ht="15" hidden="false" customHeight="true" outlineLevel="0" collapsed="false">
      <c r="B42" s="21" t="s">
        <v>23</v>
      </c>
      <c r="C42" s="34"/>
      <c r="D42" s="34"/>
      <c r="E42" s="34"/>
      <c r="F42" s="34"/>
      <c r="G42" s="34"/>
      <c r="H42" s="34"/>
      <c r="I42" s="34"/>
      <c r="J42" s="34"/>
      <c r="K42" s="34"/>
      <c r="L42" s="34"/>
      <c r="M42" s="34"/>
      <c r="N42" s="34"/>
      <c r="O42" s="34"/>
      <c r="P42" s="34"/>
    </row>
    <row r="43" customFormat="false" ht="15" hidden="false" customHeight="true" outlineLevel="0" collapsed="false">
      <c r="B43" s="40" t="s">
        <v>651</v>
      </c>
      <c r="D43" s="40" t="n">
        <v>1</v>
      </c>
      <c r="E43" s="40" t="n">
        <v>2</v>
      </c>
      <c r="F43" s="40" t="n">
        <v>3</v>
      </c>
      <c r="G43" s="40" t="n">
        <v>4</v>
      </c>
      <c r="H43" s="40" t="n">
        <v>5</v>
      </c>
      <c r="I43" s="40" t="n">
        <v>6</v>
      </c>
      <c r="J43" s="40" t="n">
        <v>7</v>
      </c>
      <c r="K43" s="40" t="n">
        <v>8</v>
      </c>
      <c r="L43" s="40" t="n">
        <v>9</v>
      </c>
      <c r="M43" s="40" t="n">
        <v>10</v>
      </c>
      <c r="N43" s="40" t="n">
        <v>11</v>
      </c>
      <c r="O43" s="40" t="n">
        <v>12</v>
      </c>
      <c r="P43" s="40" t="s">
        <v>652</v>
      </c>
    </row>
    <row r="44" customFormat="false" ht="15" hidden="false" customHeight="true" outlineLevel="0" collapsed="false">
      <c r="B44" s="4" t="s">
        <v>653</v>
      </c>
      <c r="D44" s="18" t="n">
        <v>0.05</v>
      </c>
      <c r="E44" s="18" t="n">
        <v>0.1</v>
      </c>
      <c r="F44" s="18" t="n">
        <v>0.15</v>
      </c>
      <c r="G44" s="18" t="n">
        <v>0.2</v>
      </c>
      <c r="H44" s="18" t="n">
        <v>0.25</v>
      </c>
      <c r="I44" s="18" t="n">
        <v>0.25</v>
      </c>
      <c r="J44" s="18" t="n">
        <v>0</v>
      </c>
      <c r="K44" s="18" t="n">
        <v>0</v>
      </c>
      <c r="L44" s="18" t="n">
        <v>0</v>
      </c>
      <c r="M44" s="18" t="n">
        <v>0</v>
      </c>
      <c r="N44" s="18" t="n">
        <v>0</v>
      </c>
      <c r="O44" s="18" t="n">
        <v>0</v>
      </c>
      <c r="P44" s="47" t="n">
        <f aca="false">SUM(D44:O44)</f>
        <v>1</v>
      </c>
    </row>
    <row r="45" customFormat="false" ht="15" hidden="false" customHeight="true" outlineLevel="0" collapsed="false">
      <c r="B45" s="4" t="s">
        <v>654</v>
      </c>
      <c r="D45" s="57" t="n">
        <f aca="false">$C$63*D44</f>
        <v>8.013265</v>
      </c>
      <c r="E45" s="57" t="n">
        <f aca="false">$C$63*E44</f>
        <v>16.02653</v>
      </c>
      <c r="F45" s="57" t="n">
        <f aca="false">$C$63*F44</f>
        <v>24.039795</v>
      </c>
      <c r="G45" s="57" t="n">
        <f aca="false">$C$63*G44</f>
        <v>32.05306</v>
      </c>
      <c r="H45" s="57" t="n">
        <f aca="false">$C$63*H44</f>
        <v>40.066325</v>
      </c>
      <c r="I45" s="57" t="n">
        <f aca="false">$C$63*I44</f>
        <v>40.066325</v>
      </c>
      <c r="J45" s="57" t="n">
        <f aca="false">$C$63*J44</f>
        <v>0</v>
      </c>
      <c r="K45" s="57" t="n">
        <f aca="false">$C$63*K44</f>
        <v>0</v>
      </c>
      <c r="L45" s="57" t="n">
        <f aca="false">$C$63*L44</f>
        <v>0</v>
      </c>
      <c r="M45" s="57" t="n">
        <f aca="false">$C$63*M44</f>
        <v>0</v>
      </c>
      <c r="N45" s="57" t="n">
        <f aca="false">$C$63*N44</f>
        <v>0</v>
      </c>
      <c r="O45" s="57" t="n">
        <f aca="false">$C$63*O44</f>
        <v>0</v>
      </c>
      <c r="P45" s="59" t="n">
        <f aca="false">SUM(D45:O45)</f>
        <v>160.2653</v>
      </c>
    </row>
    <row r="46" customFormat="false" ht="15" hidden="false" customHeight="true" outlineLevel="0" collapsed="false">
      <c r="B46" s="4" t="s">
        <v>655</v>
      </c>
      <c r="D46" s="57" t="n">
        <f aca="false">D45</f>
        <v>8.013265</v>
      </c>
      <c r="E46" s="57" t="n">
        <f aca="false">D46+E45</f>
        <v>24.039795</v>
      </c>
      <c r="F46" s="57" t="n">
        <f aca="false">E46+F45</f>
        <v>48.07959</v>
      </c>
      <c r="G46" s="57" t="n">
        <f aca="false">F46+G45</f>
        <v>80.13265</v>
      </c>
      <c r="H46" s="57" t="n">
        <f aca="false">G46+H45</f>
        <v>120.198975</v>
      </c>
      <c r="I46" s="57" t="n">
        <f aca="false">H46+I45</f>
        <v>160.2653</v>
      </c>
      <c r="J46" s="57" t="n">
        <f aca="false">I46+J45</f>
        <v>160.2653</v>
      </c>
      <c r="K46" s="57" t="n">
        <f aca="false">J46+K45</f>
        <v>160.2653</v>
      </c>
      <c r="L46" s="57" t="n">
        <f aca="false">K46+L45</f>
        <v>160.2653</v>
      </c>
      <c r="M46" s="57" t="n">
        <f aca="false">L46+M45</f>
        <v>160.2653</v>
      </c>
      <c r="N46" s="57" t="n">
        <f aca="false">M46+N45</f>
        <v>160.2653</v>
      </c>
      <c r="O46" s="57" t="n">
        <f aca="false">N46+O45</f>
        <v>160.2653</v>
      </c>
    </row>
    <row r="47" customFormat="false" ht="15" hidden="false" customHeight="true" outlineLevel="0" collapsed="false">
      <c r="B47" s="40" t="s">
        <v>656</v>
      </c>
      <c r="D47" s="57" t="n">
        <f aca="false">MAX(0,D46-$C$63*(1-$C$64))</f>
        <v>0</v>
      </c>
      <c r="E47" s="57" t="n">
        <f aca="false">MAX(0,E46-$C$63*(1-$C$64))</f>
        <v>0</v>
      </c>
      <c r="F47" s="57" t="n">
        <f aca="false">MAX(0,F46-$C$63*(1-$C$64))</f>
        <v>0</v>
      </c>
      <c r="G47" s="57" t="n">
        <f aca="false">MAX(0,G46-$C$63*(1-$C$64))</f>
        <v>26.9172556827778</v>
      </c>
      <c r="H47" s="57" t="n">
        <f aca="false">MAX(0,H46-$C$63*(1-$C$64))</f>
        <v>66.9835806827778</v>
      </c>
      <c r="I47" s="57" t="n">
        <f aca="false">MAX(0,I46-$C$63*(1-$C$64))</f>
        <v>107.049905682778</v>
      </c>
      <c r="J47" s="57" t="n">
        <f aca="false">MAX(0,J46-$C$63*(1-$C$64))</f>
        <v>107.049905682778</v>
      </c>
      <c r="K47" s="57" t="n">
        <f aca="false">MAX(0,K46-$C$63*(1-$C$64))</f>
        <v>107.049905682778</v>
      </c>
      <c r="L47" s="57" t="n">
        <f aca="false">MAX(0,L46-$C$63*(1-$C$64))</f>
        <v>107.049905682778</v>
      </c>
      <c r="M47" s="57" t="n">
        <f aca="false">MAX(0,M46-$C$63*(1-$C$64))</f>
        <v>107.049905682778</v>
      </c>
      <c r="N47" s="57" t="n">
        <f aca="false">MAX(0,N46-$C$63*(1-$C$64))</f>
        <v>107.049905682778</v>
      </c>
      <c r="O47" s="57" t="n">
        <f aca="false">MAX(0,O46-$C$63*(1-$C$64))</f>
        <v>107.049905682778</v>
      </c>
    </row>
    <row r="48" customFormat="false" ht="15" hidden="false" customHeight="true" outlineLevel="0" collapsed="false">
      <c r="B48" s="4" t="s">
        <v>657</v>
      </c>
      <c r="D48" s="57" t="n">
        <f aca="false">D47</f>
        <v>0</v>
      </c>
      <c r="E48" s="57" t="n">
        <f aca="false">E47-D47</f>
        <v>0</v>
      </c>
      <c r="F48" s="57" t="n">
        <f aca="false">F47-E47</f>
        <v>0</v>
      </c>
      <c r="G48" s="57" t="n">
        <f aca="false">G47-F47</f>
        <v>26.9172556827778</v>
      </c>
      <c r="H48" s="57" t="n">
        <f aca="false">H47-G47</f>
        <v>40.066325</v>
      </c>
      <c r="I48" s="57" t="n">
        <f aca="false">I47-H47</f>
        <v>40.066325</v>
      </c>
      <c r="J48" s="57" t="n">
        <f aca="false">J47-I47</f>
        <v>0</v>
      </c>
      <c r="K48" s="57" t="n">
        <f aca="false">K47-J47</f>
        <v>0</v>
      </c>
      <c r="L48" s="57" t="n">
        <f aca="false">L47-K47</f>
        <v>0</v>
      </c>
      <c r="M48" s="57" t="n">
        <f aca="false">M47-L47</f>
        <v>0</v>
      </c>
      <c r="N48" s="57" t="n">
        <f aca="false">N47-M47</f>
        <v>0</v>
      </c>
      <c r="O48" s="57" t="n">
        <f aca="false">O47-N47</f>
        <v>0</v>
      </c>
      <c r="P48" s="59" t="n">
        <f aca="false">SUM(D48:O48)</f>
        <v>107.049905682778</v>
      </c>
    </row>
    <row r="49" customFormat="false" ht="15" hidden="false" customHeight="true" outlineLevel="0" collapsed="false">
      <c r="B49" s="4" t="s">
        <v>658</v>
      </c>
      <c r="D49" s="57" t="n">
        <f aca="false">D45-D48</f>
        <v>8.013265</v>
      </c>
      <c r="E49" s="57" t="n">
        <f aca="false">E45-E48</f>
        <v>16.02653</v>
      </c>
      <c r="F49" s="57" t="n">
        <f aca="false">F45-F48</f>
        <v>24.039795</v>
      </c>
      <c r="G49" s="57" t="n">
        <f aca="false">G45-G48</f>
        <v>5.13580431722216</v>
      </c>
      <c r="H49" s="57" t="n">
        <f aca="false">H45-H48</f>
        <v>0</v>
      </c>
      <c r="I49" s="57" t="n">
        <f aca="false">I45-I48</f>
        <v>0</v>
      </c>
      <c r="J49" s="57" t="n">
        <f aca="false">J45-J48</f>
        <v>0</v>
      </c>
      <c r="K49" s="57" t="n">
        <f aca="false">K45-K48</f>
        <v>0</v>
      </c>
      <c r="L49" s="57" t="n">
        <f aca="false">L45-L48</f>
        <v>0</v>
      </c>
      <c r="M49" s="57" t="n">
        <f aca="false">M45-M48</f>
        <v>0</v>
      </c>
      <c r="N49" s="57" t="n">
        <f aca="false">N45-N48</f>
        <v>0</v>
      </c>
      <c r="O49" s="57" t="n">
        <f aca="false">O45-O48</f>
        <v>0</v>
      </c>
      <c r="P49" s="59" t="n">
        <f aca="false">SUM(D49:O49)</f>
        <v>53.2153943172222</v>
      </c>
    </row>
    <row r="50" customFormat="false" ht="15" hidden="false" customHeight="true" outlineLevel="0" collapsed="false">
      <c r="B50" s="4" t="s">
        <v>659</v>
      </c>
      <c r="D50" s="57" t="n">
        <f aca="false">IF(D$43&lt;=Inputs!$D$35,(0+D47)/2*Inputs!$D$51/12,0)</f>
        <v>0</v>
      </c>
      <c r="E50" s="57" t="n">
        <f aca="false">IF(E$43&lt;=Inputs!$D$35,(D47+E47)/2*Inputs!$D$51/12,0)</f>
        <v>0</v>
      </c>
      <c r="F50" s="57" t="n">
        <f aca="false">IF(F$43&lt;=Inputs!$D$35,(E47+F47)/2*Inputs!$D$51/12,0)</f>
        <v>0</v>
      </c>
      <c r="G50" s="57" t="n">
        <f aca="false">IF(G$43&lt;=Inputs!$D$35,(F47+G47)/2*Inputs!$D$51/12,0)</f>
        <v>0.117762993612153</v>
      </c>
      <c r="H50" s="57" t="n">
        <f aca="false">IF(H$43&lt;=Inputs!$D$35,(G47+H47)/2*Inputs!$D$51/12,0)</f>
        <v>0.410816159099306</v>
      </c>
      <c r="I50" s="57" t="n">
        <f aca="false">IF(I$43&lt;=Inputs!$D$35,(H47+I47)/2*Inputs!$D$51/12,0)</f>
        <v>0.761396502849306</v>
      </c>
      <c r="J50" s="57" t="n">
        <f aca="false">IF(J$43&lt;=Inputs!$D$35,(I47+J47)/2*Inputs!$D$51/12,0)</f>
        <v>0</v>
      </c>
      <c r="K50" s="57" t="n">
        <f aca="false">IF(K$43&lt;=Inputs!$D$35,(J47+K47)/2*Inputs!$D$51/12,0)</f>
        <v>0</v>
      </c>
      <c r="L50" s="57" t="n">
        <f aca="false">IF(L$43&lt;=Inputs!$D$35,(K47+L47)/2*Inputs!$D$51/12,0)</f>
        <v>0</v>
      </c>
      <c r="M50" s="57" t="n">
        <f aca="false">IF(M$43&lt;=Inputs!$D$35,(L47+M47)/2*Inputs!$D$51/12,0)</f>
        <v>0</v>
      </c>
      <c r="N50" s="57" t="n">
        <f aca="false">IF(N$43&lt;=Inputs!$D$35,(M47+N47)/2*Inputs!$D$51/12,0)</f>
        <v>0</v>
      </c>
      <c r="O50" s="57" t="n">
        <f aca="false">IF(O$43&lt;=Inputs!$D$35,(N47+O47)/2*Inputs!$D$51/12,0)</f>
        <v>0</v>
      </c>
      <c r="P50" s="59" t="n">
        <f aca="false">SUM(D50:O50)</f>
        <v>1.28997565556077</v>
      </c>
    </row>
    <row r="51" customFormat="false" ht="15" hidden="false" customHeight="true" outlineLevel="0" collapsed="false">
      <c r="B51" s="4" t="s">
        <v>660</v>
      </c>
      <c r="D51" s="57" t="n">
        <f aca="false">IF(D$43&lt;=Inputs!$D$35,D49*Inputs!$D$37*(Inputs!$D$35-D$43+0.5)/12,0)</f>
        <v>0.238728519791667</v>
      </c>
      <c r="E51" s="57" t="n">
        <f aca="false">IF(E$43&lt;=Inputs!$D$35,E49*Inputs!$D$37*(Inputs!$D$35-E$43+0.5)/12,0)</f>
        <v>0.39064666875</v>
      </c>
      <c r="F51" s="57" t="n">
        <f aca="false">IF(F$43&lt;=Inputs!$D$35,F49*Inputs!$D$37*(Inputs!$D$35-F$43+0.5)/12,0)</f>
        <v>0.455754446875</v>
      </c>
      <c r="G51" s="57" t="n">
        <f aca="false">IF(G$43&lt;=Inputs!$D$35,G49*Inputs!$D$37*(Inputs!$D$35-G$43+0.5)/12,0)</f>
        <v>0.0695473501290501</v>
      </c>
      <c r="H51" s="57" t="n">
        <f aca="false">IF(H$43&lt;=Inputs!$D$35,H49*Inputs!$D$37*(Inputs!$D$35-H$43+0.5)/12,0)</f>
        <v>0</v>
      </c>
      <c r="I51" s="57" t="n">
        <f aca="false">IF(I$43&lt;=Inputs!$D$35,I49*Inputs!$D$37*(Inputs!$D$35-I$43+0.5)/12,0)</f>
        <v>0</v>
      </c>
      <c r="J51" s="57" t="n">
        <f aca="false">IF(J$43&lt;=Inputs!$D$35,J49*Inputs!$D$37*(Inputs!$D$35-J$43+0.5)/12,0)</f>
        <v>0</v>
      </c>
      <c r="K51" s="57" t="n">
        <f aca="false">IF(K$43&lt;=Inputs!$D$35,K49*Inputs!$D$37*(Inputs!$D$35-K$43+0.5)/12,0)</f>
        <v>0</v>
      </c>
      <c r="L51" s="57" t="n">
        <f aca="false">IF(L$43&lt;=Inputs!$D$35,L49*Inputs!$D$37*(Inputs!$D$35-L$43+0.5)/12,0)</f>
        <v>0</v>
      </c>
      <c r="M51" s="57" t="n">
        <f aca="false">IF(M$43&lt;=Inputs!$D$35,M49*Inputs!$D$37*(Inputs!$D$35-M$43+0.5)/12,0)</f>
        <v>0</v>
      </c>
      <c r="N51" s="57" t="n">
        <f aca="false">IF(N$43&lt;=Inputs!$D$35,N49*Inputs!$D$37*(Inputs!$D$35-N$43+0.5)/12,0)</f>
        <v>0</v>
      </c>
      <c r="O51" s="57" t="n">
        <f aca="false">IF(O$43&lt;=Inputs!$D$35,O49*Inputs!$D$37*(Inputs!$D$35-O$43+0.5)/12,0)</f>
        <v>0</v>
      </c>
      <c r="P51" s="59" t="n">
        <f aca="false">SUM(D51:O51)</f>
        <v>1.15467698554572</v>
      </c>
    </row>
    <row r="52" customFormat="false" ht="15" hidden="false" customHeight="true" outlineLevel="0" collapsed="false">
      <c r="B52" s="40" t="s">
        <v>661</v>
      </c>
      <c r="D52" s="57" t="n">
        <f aca="false">D46*$C$64</f>
        <v>5.35249528413889</v>
      </c>
      <c r="E52" s="57" t="n">
        <f aca="false">E46*$C$64</f>
        <v>16.0574858524167</v>
      </c>
      <c r="F52" s="57" t="n">
        <f aca="false">F46*$C$64</f>
        <v>32.1149717048334</v>
      </c>
      <c r="G52" s="57" t="n">
        <f aca="false">G46*$C$64</f>
        <v>53.5249528413889</v>
      </c>
      <c r="H52" s="57" t="n">
        <f aca="false">H46*$C$64</f>
        <v>80.2874292620834</v>
      </c>
      <c r="I52" s="57" t="n">
        <f aca="false">I46*$C$64</f>
        <v>107.049905682778</v>
      </c>
      <c r="J52" s="57" t="n">
        <f aca="false">J46*$C$64</f>
        <v>107.049905682778</v>
      </c>
      <c r="K52" s="57" t="n">
        <f aca="false">K46*$C$64</f>
        <v>107.049905682778</v>
      </c>
      <c r="L52" s="57" t="n">
        <f aca="false">L46*$C$64</f>
        <v>107.049905682778</v>
      </c>
      <c r="M52" s="57" t="n">
        <f aca="false">M46*$C$64</f>
        <v>107.049905682778</v>
      </c>
      <c r="N52" s="57" t="n">
        <f aca="false">N46*$C$64</f>
        <v>107.049905682778</v>
      </c>
      <c r="O52" s="57" t="n">
        <f aca="false">O46*$C$64</f>
        <v>107.049905682778</v>
      </c>
    </row>
    <row r="53" customFormat="false" ht="15" hidden="false" customHeight="true" outlineLevel="0" collapsed="false">
      <c r="B53" s="4" t="s">
        <v>657</v>
      </c>
      <c r="D53" s="57" t="n">
        <f aca="false">D52</f>
        <v>5.35249528413889</v>
      </c>
      <c r="E53" s="57" t="n">
        <f aca="false">E52-D52</f>
        <v>10.7049905682778</v>
      </c>
      <c r="F53" s="57" t="n">
        <f aca="false">F52-E52</f>
        <v>16.0574858524167</v>
      </c>
      <c r="G53" s="57" t="n">
        <f aca="false">G52-F52</f>
        <v>21.4099811365556</v>
      </c>
      <c r="H53" s="57" t="n">
        <f aca="false">H52-G52</f>
        <v>26.7624764206945</v>
      </c>
      <c r="I53" s="57" t="n">
        <f aca="false">I52-H52</f>
        <v>26.7624764206945</v>
      </c>
      <c r="J53" s="57" t="n">
        <f aca="false">J52-I52</f>
        <v>0</v>
      </c>
      <c r="K53" s="57" t="n">
        <f aca="false">K52-J52</f>
        <v>0</v>
      </c>
      <c r="L53" s="57" t="n">
        <f aca="false">L52-K52</f>
        <v>0</v>
      </c>
      <c r="M53" s="57" t="n">
        <f aca="false">M52-L52</f>
        <v>0</v>
      </c>
      <c r="N53" s="57" t="n">
        <f aca="false">N52-M52</f>
        <v>0</v>
      </c>
      <c r="O53" s="57" t="n">
        <f aca="false">O52-N52</f>
        <v>0</v>
      </c>
      <c r="P53" s="59" t="n">
        <f aca="false">SUM(D53:O53)</f>
        <v>107.049905682778</v>
      </c>
    </row>
    <row r="54" customFormat="false" ht="15" hidden="false" customHeight="true" outlineLevel="0" collapsed="false">
      <c r="B54" s="4" t="s">
        <v>658</v>
      </c>
      <c r="D54" s="57" t="n">
        <f aca="false">D45-D53</f>
        <v>2.66076971586111</v>
      </c>
      <c r="E54" s="57" t="n">
        <f aca="false">E45-E53</f>
        <v>5.32153943172222</v>
      </c>
      <c r="F54" s="57" t="n">
        <f aca="false">F45-F53</f>
        <v>7.98230914758332</v>
      </c>
      <c r="G54" s="57" t="n">
        <f aca="false">G45-G53</f>
        <v>10.6430788634444</v>
      </c>
      <c r="H54" s="57" t="n">
        <f aca="false">H45-H53</f>
        <v>13.3038485793055</v>
      </c>
      <c r="I54" s="57" t="n">
        <f aca="false">I45-I53</f>
        <v>13.3038485793055</v>
      </c>
      <c r="J54" s="57" t="n">
        <f aca="false">J45-J53</f>
        <v>0</v>
      </c>
      <c r="K54" s="57" t="n">
        <f aca="false">K45-K53</f>
        <v>0</v>
      </c>
      <c r="L54" s="57" t="n">
        <f aca="false">L45-L53</f>
        <v>0</v>
      </c>
      <c r="M54" s="57" t="n">
        <f aca="false">M45-M53</f>
        <v>0</v>
      </c>
      <c r="N54" s="57" t="n">
        <f aca="false">N45-N53</f>
        <v>0</v>
      </c>
      <c r="O54" s="57" t="n">
        <f aca="false">O45-O53</f>
        <v>0</v>
      </c>
      <c r="P54" s="59" t="n">
        <f aca="false">SUM(D54:O54)</f>
        <v>53.2153943172222</v>
      </c>
    </row>
    <row r="55" customFormat="false" ht="15" hidden="false" customHeight="true" outlineLevel="0" collapsed="false">
      <c r="B55" s="4" t="s">
        <v>659</v>
      </c>
      <c r="D55" s="57" t="n">
        <f aca="false">IF(D$43&lt;=Inputs!$D$35,(0+D52)/2*Inputs!$D$51/12,0)</f>
        <v>0.0234171668681077</v>
      </c>
      <c r="E55" s="57" t="n">
        <f aca="false">IF(E$43&lt;=Inputs!$D$35,(D52+E52)/2*Inputs!$D$51/12,0)</f>
        <v>0.0936686674724306</v>
      </c>
      <c r="F55" s="57" t="n">
        <f aca="false">IF(F$43&lt;=Inputs!$D$35,(E52+F52)/2*Inputs!$D$51/12,0)</f>
        <v>0.210754501812969</v>
      </c>
      <c r="G55" s="57" t="n">
        <f aca="false">IF(G$43&lt;=Inputs!$D$35,(F52+G52)/2*Inputs!$D$51/12,0)</f>
        <v>0.374674669889722</v>
      </c>
      <c r="H55" s="57" t="n">
        <f aca="false">IF(H$43&lt;=Inputs!$D$35,(G52+H52)/2*Inputs!$D$51/12,0)</f>
        <v>0.585429171702691</v>
      </c>
      <c r="I55" s="57" t="n">
        <f aca="false">IF(I$43&lt;=Inputs!$D$35,(H52+I52)/2*Inputs!$D$51/12,0)</f>
        <v>0.819600840383768</v>
      </c>
      <c r="J55" s="57" t="n">
        <f aca="false">IF(J$43&lt;=Inputs!$D$35,(I52+J52)/2*Inputs!$D$51/12,0)</f>
        <v>0</v>
      </c>
      <c r="K55" s="57" t="n">
        <f aca="false">IF(K$43&lt;=Inputs!$D$35,(J52+K52)/2*Inputs!$D$51/12,0)</f>
        <v>0</v>
      </c>
      <c r="L55" s="57" t="n">
        <f aca="false">IF(L$43&lt;=Inputs!$D$35,(K52+L52)/2*Inputs!$D$51/12,0)</f>
        <v>0</v>
      </c>
      <c r="M55" s="57" t="n">
        <f aca="false">IF(M$43&lt;=Inputs!$D$35,(L52+M52)/2*Inputs!$D$51/12,0)</f>
        <v>0</v>
      </c>
      <c r="N55" s="57" t="n">
        <f aca="false">IF(N$43&lt;=Inputs!$D$35,(M52+N52)/2*Inputs!$D$51/12,0)</f>
        <v>0</v>
      </c>
      <c r="O55" s="57" t="n">
        <f aca="false">IF(O$43&lt;=Inputs!$D$35,(N52+O52)/2*Inputs!$D$51/12,0)</f>
        <v>0</v>
      </c>
      <c r="P55" s="59" t="n">
        <f aca="false">SUM(D55:O55)</f>
        <v>2.10754501812969</v>
      </c>
    </row>
    <row r="56" customFormat="false" ht="15" hidden="false" customHeight="true" outlineLevel="0" collapsed="false">
      <c r="B56" s="4" t="s">
        <v>660</v>
      </c>
      <c r="D56" s="57" t="n">
        <f aca="false">IF(D$43&lt;=Inputs!$D$35,D54*Inputs!$D$37*(Inputs!$D$35-D$43+0.5)/12,0)</f>
        <v>0.0792687644516955</v>
      </c>
      <c r="E56" s="57" t="n">
        <f aca="false">IF(E$43&lt;=Inputs!$D$35,E54*Inputs!$D$37*(Inputs!$D$35-E$43+0.5)/12,0)</f>
        <v>0.129712523648229</v>
      </c>
      <c r="F56" s="57" t="n">
        <f aca="false">IF(F$43&lt;=Inputs!$D$35,F54*Inputs!$D$37*(Inputs!$D$35-F$43+0.5)/12,0)</f>
        <v>0.151331277589601</v>
      </c>
      <c r="G56" s="57" t="n">
        <f aca="false">IF(G$43&lt;=Inputs!$D$35,G54*Inputs!$D$37*(Inputs!$D$35-G$43+0.5)/12,0)</f>
        <v>0.14412502627581</v>
      </c>
      <c r="H56" s="57" t="n">
        <f aca="false">IF(H$43&lt;=Inputs!$D$35,H54*Inputs!$D$37*(Inputs!$D$35-H$43+0.5)/12,0)</f>
        <v>0.108093769706858</v>
      </c>
      <c r="I56" s="57" t="n">
        <f aca="false">IF(I$43&lt;=Inputs!$D$35,I54*Inputs!$D$37*(Inputs!$D$35-I$43+0.5)/12,0)</f>
        <v>0.0360312565689525</v>
      </c>
      <c r="J56" s="57" t="n">
        <f aca="false">IF(J$43&lt;=Inputs!$D$35,J54*Inputs!$D$37*(Inputs!$D$35-J$43+0.5)/12,0)</f>
        <v>0</v>
      </c>
      <c r="K56" s="57" t="n">
        <f aca="false">IF(K$43&lt;=Inputs!$D$35,K54*Inputs!$D$37*(Inputs!$D$35-K$43+0.5)/12,0)</f>
        <v>0</v>
      </c>
      <c r="L56" s="57" t="n">
        <f aca="false">IF(L$43&lt;=Inputs!$D$35,L54*Inputs!$D$37*(Inputs!$D$35-L$43+0.5)/12,0)</f>
        <v>0</v>
      </c>
      <c r="M56" s="57" t="n">
        <f aca="false">IF(M$43&lt;=Inputs!$D$35,M54*Inputs!$D$37*(Inputs!$D$35-M$43+0.5)/12,0)</f>
        <v>0</v>
      </c>
      <c r="N56" s="57" t="n">
        <f aca="false">IF(N$43&lt;=Inputs!$D$35,N54*Inputs!$D$37*(Inputs!$D$35-N$43+0.5)/12,0)</f>
        <v>0</v>
      </c>
      <c r="O56" s="57" t="n">
        <f aca="false">IF(O$43&lt;=Inputs!$D$35,O54*Inputs!$D$37*(Inputs!$D$35-O$43+0.5)/12,0)</f>
        <v>0</v>
      </c>
      <c r="P56" s="59" t="n">
        <f aca="false">SUM(D56:O56)</f>
        <v>0.648562618241145</v>
      </c>
    </row>
    <row r="57" customFormat="false" ht="15" hidden="false" customHeight="true" outlineLevel="0" collapsed="false">
      <c r="B57" s="40" t="s">
        <v>662</v>
      </c>
      <c r="D57" s="57" t="n">
        <f aca="false">MIN(D46,$C$65)</f>
        <v>8.013265</v>
      </c>
      <c r="E57" s="57" t="n">
        <f aca="false">MIN(E46,$C$65)</f>
        <v>24.039795</v>
      </c>
      <c r="F57" s="57" t="n">
        <f aca="false">MIN(F46,$C$65)</f>
        <v>48.07959</v>
      </c>
      <c r="G57" s="57" t="n">
        <f aca="false">MIN(G46,$C$65)</f>
        <v>80.13265</v>
      </c>
      <c r="H57" s="57" t="n">
        <f aca="false">MIN(H46,$C$65)</f>
        <v>107.049905682778</v>
      </c>
      <c r="I57" s="57" t="n">
        <f aca="false">MIN(I46,$C$65)</f>
        <v>107.049905682778</v>
      </c>
      <c r="J57" s="57" t="n">
        <f aca="false">MIN(J46,$C$65)</f>
        <v>107.049905682778</v>
      </c>
      <c r="K57" s="57" t="n">
        <f aca="false">MIN(K46,$C$65)</f>
        <v>107.049905682778</v>
      </c>
      <c r="L57" s="57" t="n">
        <f aca="false">MIN(L46,$C$65)</f>
        <v>107.049905682778</v>
      </c>
      <c r="M57" s="57" t="n">
        <f aca="false">MIN(M46,$C$65)</f>
        <v>107.049905682778</v>
      </c>
      <c r="N57" s="57" t="n">
        <f aca="false">MIN(N46,$C$65)</f>
        <v>107.049905682778</v>
      </c>
      <c r="O57" s="57" t="n">
        <f aca="false">MIN(O46,$C$65)</f>
        <v>107.049905682778</v>
      </c>
    </row>
    <row r="58" customFormat="false" ht="15" hidden="false" customHeight="true" outlineLevel="0" collapsed="false">
      <c r="B58" s="4" t="s">
        <v>657</v>
      </c>
      <c r="D58" s="57" t="n">
        <f aca="false">D57</f>
        <v>8.013265</v>
      </c>
      <c r="E58" s="57" t="n">
        <f aca="false">E57-D57</f>
        <v>16.02653</v>
      </c>
      <c r="F58" s="57" t="n">
        <f aca="false">F57-E57</f>
        <v>24.039795</v>
      </c>
      <c r="G58" s="57" t="n">
        <f aca="false">G57-F57</f>
        <v>32.05306</v>
      </c>
      <c r="H58" s="57" t="n">
        <f aca="false">H57-G57</f>
        <v>26.9172556827778</v>
      </c>
      <c r="I58" s="57" t="n">
        <f aca="false">I57-H57</f>
        <v>0</v>
      </c>
      <c r="J58" s="57" t="n">
        <f aca="false">J57-I57</f>
        <v>0</v>
      </c>
      <c r="K58" s="57" t="n">
        <f aca="false">K57-J57</f>
        <v>0</v>
      </c>
      <c r="L58" s="57" t="n">
        <f aca="false">L57-K57</f>
        <v>0</v>
      </c>
      <c r="M58" s="57" t="n">
        <f aca="false">M57-L57</f>
        <v>0</v>
      </c>
      <c r="N58" s="57" t="n">
        <f aca="false">N57-M57</f>
        <v>0</v>
      </c>
      <c r="O58" s="57" t="n">
        <f aca="false">O57-N57</f>
        <v>0</v>
      </c>
      <c r="P58" s="59" t="n">
        <f aca="false">SUM(D58:O58)</f>
        <v>107.049905682778</v>
      </c>
    </row>
    <row r="59" customFormat="false" ht="15" hidden="false" customHeight="true" outlineLevel="0" collapsed="false">
      <c r="B59" s="4" t="s">
        <v>658</v>
      </c>
      <c r="D59" s="57" t="n">
        <f aca="false">D45-D58</f>
        <v>0</v>
      </c>
      <c r="E59" s="57" t="n">
        <f aca="false">E45-E58</f>
        <v>0</v>
      </c>
      <c r="F59" s="57" t="n">
        <f aca="false">F45-F58</f>
        <v>0</v>
      </c>
      <c r="G59" s="57" t="n">
        <f aca="false">G45-G58</f>
        <v>0</v>
      </c>
      <c r="H59" s="57" t="n">
        <f aca="false">H45-H58</f>
        <v>13.1490693172222</v>
      </c>
      <c r="I59" s="57" t="n">
        <f aca="false">I45-I58</f>
        <v>40.066325</v>
      </c>
      <c r="J59" s="57" t="n">
        <f aca="false">J45-J58</f>
        <v>0</v>
      </c>
      <c r="K59" s="57" t="n">
        <f aca="false">K45-K58</f>
        <v>0</v>
      </c>
      <c r="L59" s="57" t="n">
        <f aca="false">L45-L58</f>
        <v>0</v>
      </c>
      <c r="M59" s="57" t="n">
        <f aca="false">M45-M58</f>
        <v>0</v>
      </c>
      <c r="N59" s="57" t="n">
        <f aca="false">N45-N58</f>
        <v>0</v>
      </c>
      <c r="O59" s="57" t="n">
        <f aca="false">O45-O58</f>
        <v>0</v>
      </c>
      <c r="P59" s="59" t="n">
        <f aca="false">SUM(D59:O59)</f>
        <v>53.2153943172222</v>
      </c>
    </row>
    <row r="60" customFormat="false" ht="15" hidden="false" customHeight="true" outlineLevel="0" collapsed="false">
      <c r="B60" s="4" t="s">
        <v>659</v>
      </c>
      <c r="D60" s="57" t="n">
        <f aca="false">IF(D$43&lt;=Inputs!$D$35,(0+D57)/2*Inputs!$D$51/12,0)</f>
        <v>0.035058034375</v>
      </c>
      <c r="E60" s="57" t="n">
        <f aca="false">IF(E$43&lt;=Inputs!$D$35,(D57+E57)/2*Inputs!$D$51/12,0)</f>
        <v>0.1402321375</v>
      </c>
      <c r="F60" s="57" t="n">
        <f aca="false">IF(F$43&lt;=Inputs!$D$35,(E57+F57)/2*Inputs!$D$51/12,0)</f>
        <v>0.315522309375</v>
      </c>
      <c r="G60" s="57" t="n">
        <f aca="false">IF(G$43&lt;=Inputs!$D$35,(F57+G57)/2*Inputs!$D$51/12,0)</f>
        <v>0.56092855</v>
      </c>
      <c r="H60" s="57" t="n">
        <f aca="false">IF(H$43&lt;=Inputs!$D$35,(G57+H57)/2*Inputs!$D$51/12,0)</f>
        <v>0.818923681112153</v>
      </c>
      <c r="I60" s="57" t="n">
        <f aca="false">IF(I$43&lt;=Inputs!$D$35,(H57+I57)/2*Inputs!$D$51/12,0)</f>
        <v>0.936686674724306</v>
      </c>
      <c r="J60" s="57" t="n">
        <f aca="false">IF(J$43&lt;=Inputs!$D$35,(I57+J57)/2*Inputs!$D$51/12,0)</f>
        <v>0</v>
      </c>
      <c r="K60" s="57" t="n">
        <f aca="false">IF(K$43&lt;=Inputs!$D$35,(J57+K57)/2*Inputs!$D$51/12,0)</f>
        <v>0</v>
      </c>
      <c r="L60" s="57" t="n">
        <f aca="false">IF(L$43&lt;=Inputs!$D$35,(K57+L57)/2*Inputs!$D$51/12,0)</f>
        <v>0</v>
      </c>
      <c r="M60" s="57" t="n">
        <f aca="false">IF(M$43&lt;=Inputs!$D$35,(L57+M57)/2*Inputs!$D$51/12,0)</f>
        <v>0</v>
      </c>
      <c r="N60" s="57" t="n">
        <f aca="false">IF(N$43&lt;=Inputs!$D$35,(M57+N57)/2*Inputs!$D$51/12,0)</f>
        <v>0</v>
      </c>
      <c r="O60" s="57" t="n">
        <f aca="false">IF(O$43&lt;=Inputs!$D$35,(N57+O57)/2*Inputs!$D$51/12,0)</f>
        <v>0</v>
      </c>
      <c r="P60" s="59" t="n">
        <f aca="false">SUM(D60:O60)</f>
        <v>2.80735138708646</v>
      </c>
    </row>
    <row r="61" customFormat="false" ht="15" hidden="false" customHeight="true" outlineLevel="0" collapsed="false">
      <c r="B61" s="4" t="s">
        <v>660</v>
      </c>
      <c r="D61" s="57" t="n">
        <f aca="false">IF(D$43&lt;=Inputs!$D$35,D59*Inputs!$D$37*(Inputs!$D$35-D$43+0.5)/12,0)</f>
        <v>0</v>
      </c>
      <c r="E61" s="57" t="n">
        <f aca="false">IF(E$43&lt;=Inputs!$D$35,E59*Inputs!$D$37*(Inputs!$D$35-E$43+0.5)/12,0)</f>
        <v>0</v>
      </c>
      <c r="F61" s="57" t="n">
        <f aca="false">IF(F$43&lt;=Inputs!$D$35,F59*Inputs!$D$37*(Inputs!$D$35-F$43+0.5)/12,0)</f>
        <v>0</v>
      </c>
      <c r="G61" s="57" t="n">
        <f aca="false">IF(G$43&lt;=Inputs!$D$35,G59*Inputs!$D$37*(Inputs!$D$35-G$43+0.5)/12,0)</f>
        <v>0</v>
      </c>
      <c r="H61" s="57" t="n">
        <f aca="false">IF(H$43&lt;=Inputs!$D$35,H59*Inputs!$D$37*(Inputs!$D$35-H$43+0.5)/12,0)</f>
        <v>0.10683618820243</v>
      </c>
      <c r="I61" s="57" t="n">
        <f aca="false">IF(I$43&lt;=Inputs!$D$35,I59*Inputs!$D$37*(Inputs!$D$35-I$43+0.5)/12,0)</f>
        <v>0.108512963541667</v>
      </c>
      <c r="J61" s="57" t="n">
        <f aca="false">IF(J$43&lt;=Inputs!$D$35,J59*Inputs!$D$37*(Inputs!$D$35-J$43+0.5)/12,0)</f>
        <v>0</v>
      </c>
      <c r="K61" s="57" t="n">
        <f aca="false">IF(K$43&lt;=Inputs!$D$35,K59*Inputs!$D$37*(Inputs!$D$35-K$43+0.5)/12,0)</f>
        <v>0</v>
      </c>
      <c r="L61" s="57" t="n">
        <f aca="false">IF(L$43&lt;=Inputs!$D$35,L59*Inputs!$D$37*(Inputs!$D$35-L$43+0.5)/12,0)</f>
        <v>0</v>
      </c>
      <c r="M61" s="57" t="n">
        <f aca="false">IF(M$43&lt;=Inputs!$D$35,M59*Inputs!$D$37*(Inputs!$D$35-M$43+0.5)/12,0)</f>
        <v>0</v>
      </c>
      <c r="N61" s="57" t="n">
        <f aca="false">IF(N$43&lt;=Inputs!$D$35,N59*Inputs!$D$37*(Inputs!$D$35-N$43+0.5)/12,0)</f>
        <v>0</v>
      </c>
      <c r="O61" s="57" t="n">
        <f aca="false">IF(O$43&lt;=Inputs!$D$35,O59*Inputs!$D$37*(Inputs!$D$35-O$43+0.5)/12,0)</f>
        <v>0</v>
      </c>
      <c r="P61" s="59" t="n">
        <f aca="false">SUM(D61:O61)</f>
        <v>0.215349151744097</v>
      </c>
    </row>
    <row r="63" customFormat="false" ht="15" hidden="false" customHeight="true" outlineLevel="0" collapsed="false">
      <c r="B63" s="40" t="s">
        <v>26</v>
      </c>
      <c r="C63" s="12" t="n">
        <f aca="false">'Sources &amp; Uses'!$D$11</f>
        <v>160.2653</v>
      </c>
    </row>
    <row r="64" customFormat="false" ht="15" hidden="false" customHeight="true" outlineLevel="0" collapsed="false">
      <c r="B64" s="40" t="s">
        <v>663</v>
      </c>
      <c r="C64" s="46" t="n">
        <f aca="false">MIN(Inputs!$D$52,'Sources &amp; Uses'!$D$18/'Sources &amp; Uses'!$D$11)</f>
        <v>0.667954358696348</v>
      </c>
    </row>
    <row r="65" customFormat="false" ht="15" hidden="false" customHeight="true" outlineLevel="0" collapsed="false">
      <c r="B65" s="40" t="s">
        <v>664</v>
      </c>
      <c r="C65" s="12" t="n">
        <f aca="false">C63*C64</f>
        <v>107.049905682778</v>
      </c>
    </row>
    <row r="67" customFormat="false" ht="15" hidden="false" customHeight="true" outlineLevel="0" collapsed="false">
      <c r="B67" s="5" t="s">
        <v>665</v>
      </c>
      <c r="D67" s="5" t="s">
        <v>666</v>
      </c>
      <c r="E67" s="5" t="s">
        <v>667</v>
      </c>
      <c r="F67" s="5" t="s">
        <v>668</v>
      </c>
      <c r="G67" s="5" t="s">
        <v>669</v>
      </c>
      <c r="H67" s="5" t="s">
        <v>670</v>
      </c>
    </row>
    <row r="68" customFormat="false" ht="15" hidden="false" customHeight="true" outlineLevel="0" collapsed="false">
      <c r="B68" s="1" t="s">
        <v>671</v>
      </c>
      <c r="D68" s="12" t="n">
        <f aca="false">P50</f>
        <v>1.28997565556077</v>
      </c>
      <c r="E68" s="12" t="n">
        <f aca="false">P51</f>
        <v>1.15467698554572</v>
      </c>
      <c r="F68" s="12" t="n">
        <f aca="false">D68+E68</f>
        <v>2.44465264110648</v>
      </c>
      <c r="G68" s="60" t="n">
        <f aca="false">IF(P49=0,0,SUMPRODUCT($D$43:$O$43,D49:O49)/P49)</f>
        <v>2.49418291402068</v>
      </c>
      <c r="H68" s="12" t="n">
        <f aca="false">SUM(D49:E49)</f>
        <v>24.039795</v>
      </c>
    </row>
    <row r="69" customFormat="false" ht="15" hidden="false" customHeight="true" outlineLevel="0" collapsed="false">
      <c r="B69" s="1" t="s">
        <v>672</v>
      </c>
      <c r="D69" s="12" t="n">
        <f aca="false">P55</f>
        <v>2.10754501812969</v>
      </c>
      <c r="E69" s="12" t="n">
        <f aca="false">P56</f>
        <v>0.648562618241145</v>
      </c>
      <c r="F69" s="12" t="n">
        <f aca="false">D69+E69</f>
        <v>2.75610763637083</v>
      </c>
      <c r="G69" s="60" t="n">
        <f aca="false">IF(P54=0,0,SUMPRODUCT($D$43:$O$43,D54:O54)/P54)</f>
        <v>4.25</v>
      </c>
      <c r="H69" s="12" t="n">
        <f aca="false">SUM(D54:E54)</f>
        <v>7.98230914758333</v>
      </c>
    </row>
    <row r="70" customFormat="false" ht="15" hidden="false" customHeight="true" outlineLevel="0" collapsed="false">
      <c r="B70" s="1" t="s">
        <v>673</v>
      </c>
      <c r="D70" s="12" t="n">
        <f aca="false">P60</f>
        <v>2.80735138708646</v>
      </c>
      <c r="E70" s="12" t="n">
        <f aca="false">P61</f>
        <v>0.215349151744097</v>
      </c>
      <c r="F70" s="12" t="n">
        <f aca="false">D70+E70</f>
        <v>3.02270053883056</v>
      </c>
      <c r="G70" s="60" t="n">
        <f aca="false">IF(P59=0,0,SUMPRODUCT($D$43:$O$43,D59:O59)/P59)</f>
        <v>5.75290854298966</v>
      </c>
      <c r="H70" s="12" t="n">
        <f aca="false">SUM(D59:E59)</f>
        <v>0</v>
      </c>
    </row>
    <row r="72" customFormat="false" ht="15" hidden="false" customHeight="true" outlineLevel="0" collapsed="false">
      <c r="B72" s="40" t="s">
        <v>674</v>
      </c>
      <c r="C72" s="40" t="n">
        <f aca="false">IF(Inputs!$D$36=0,MATCH(MIN(F68:F70),F68:F70,0),Inputs!$D$36)</f>
        <v>1</v>
      </c>
    </row>
    <row r="73" customFormat="false" ht="15" hidden="false" customHeight="true" outlineLevel="0" collapsed="false">
      <c r="B73" s="40" t="s">
        <v>675</v>
      </c>
      <c r="C73" s="40" t="str">
        <f aca="false">CHOOSE(C72,"Equity first","Pro-rata","Debt first")</f>
        <v>Equity first</v>
      </c>
    </row>
    <row r="74" customFormat="false" ht="15" hidden="false" customHeight="true" outlineLevel="0" collapsed="false">
      <c r="B74" s="40" t="s">
        <v>676</v>
      </c>
      <c r="C74" s="61" t="n">
        <f aca="false">IF($C$65=0,0,INDEX(D68:D70,C72)/$C$65)</f>
        <v>0.0120502269229771</v>
      </c>
    </row>
    <row r="75" customFormat="false" ht="15" hidden="false" customHeight="true" outlineLevel="0" collapsed="false">
      <c r="B75" s="40" t="s">
        <v>677</v>
      </c>
      <c r="C75" s="60" t="n">
        <f aca="false">INDEX(G68:G70,C72)</f>
        <v>2.49418291402068</v>
      </c>
    </row>
    <row r="76" customFormat="false" ht="15" hidden="false" customHeight="true" outlineLevel="0" collapsed="false">
      <c r="B76" s="40" t="s">
        <v>678</v>
      </c>
      <c r="C76" s="62" t="n">
        <f aca="false">MAX(0,(12-(Inputs!$D$8-1)-C75+0.5)/12)</f>
        <v>0.583818090498277</v>
      </c>
    </row>
    <row r="77" customFormat="false" ht="15" hidden="false" customHeight="true" outlineLevel="0" collapsed="false">
      <c r="B77" s="40" t="s">
        <v>679</v>
      </c>
      <c r="C77" s="40" t="str">
        <f aca="false">CHOOSE(MATCH(MIN(F68:F70),F68:F70,0),"Equity first","Pro-rata","Debt first")</f>
        <v>Equity first</v>
      </c>
    </row>
    <row r="80" customFormat="false" ht="15" hidden="false" customHeight="true" outlineLevel="0" collapsed="false">
      <c r="B80" s="3" t="s">
        <v>680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D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7"/>
    <col collapsed="false" customWidth="true" hidden="false" outlineLevel="0" max="4" min="4" style="1" width="12"/>
    <col collapsed="false" customWidth="true" hidden="false" outlineLevel="0" max="30" min="5" style="1" width="9.52"/>
  </cols>
  <sheetData>
    <row r="1" customFormat="false" ht="17.25" hidden="false" customHeight="true" outlineLevel="0" collapsed="false">
      <c r="B1" s="2" t="s">
        <v>681</v>
      </c>
    </row>
    <row r="2" customFormat="false" ht="15" hidden="false" customHeight="true" outlineLevel="0" collapsed="false">
      <c r="B2" s="3" t="s">
        <v>682</v>
      </c>
    </row>
    <row r="4" customFormat="false" ht="15" hidden="false" customHeight="true" outlineLevel="0" collapsed="false">
      <c r="B4" s="21" t="s">
        <v>683</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row>
    <row r="5" customFormat="false" ht="15" hidden="false" customHeight="true" outlineLevel="0" collapsed="false">
      <c r="B5" s="4" t="s">
        <v>684</v>
      </c>
      <c r="C5" s="3"/>
      <c r="D5" s="40" t="s">
        <v>685</v>
      </c>
      <c r="E5" s="27" t="n">
        <v>0</v>
      </c>
      <c r="F5" s="24" t="n">
        <f aca="false">E5+1</f>
        <v>1</v>
      </c>
      <c r="G5" s="24" t="n">
        <f aca="false">F5+1</f>
        <v>2</v>
      </c>
      <c r="H5" s="24" t="n">
        <f aca="false">G5+1</f>
        <v>3</v>
      </c>
      <c r="I5" s="24" t="n">
        <f aca="false">H5+1</f>
        <v>4</v>
      </c>
      <c r="J5" s="24" t="n">
        <f aca="false">I5+1</f>
        <v>5</v>
      </c>
      <c r="K5" s="24" t="n">
        <f aca="false">J5+1</f>
        <v>6</v>
      </c>
      <c r="L5" s="24" t="n">
        <f aca="false">K5+1</f>
        <v>7</v>
      </c>
      <c r="M5" s="24" t="n">
        <f aca="false">L5+1</f>
        <v>8</v>
      </c>
      <c r="N5" s="24" t="n">
        <f aca="false">M5+1</f>
        <v>9</v>
      </c>
      <c r="O5" s="24" t="n">
        <f aca="false">N5+1</f>
        <v>10</v>
      </c>
      <c r="P5" s="24" t="n">
        <f aca="false">O5+1</f>
        <v>11</v>
      </c>
      <c r="Q5" s="24" t="n">
        <f aca="false">P5+1</f>
        <v>12</v>
      </c>
      <c r="R5" s="24" t="n">
        <f aca="false">Q5+1</f>
        <v>13</v>
      </c>
      <c r="S5" s="24" t="n">
        <f aca="false">R5+1</f>
        <v>14</v>
      </c>
      <c r="T5" s="24" t="n">
        <f aca="false">S5+1</f>
        <v>15</v>
      </c>
      <c r="U5" s="24" t="n">
        <f aca="false">T5+1</f>
        <v>16</v>
      </c>
      <c r="V5" s="24" t="n">
        <f aca="false">U5+1</f>
        <v>17</v>
      </c>
      <c r="W5" s="24" t="n">
        <f aca="false">V5+1</f>
        <v>18</v>
      </c>
      <c r="X5" s="24" t="n">
        <f aca="false">W5+1</f>
        <v>19</v>
      </c>
      <c r="Y5" s="24" t="n">
        <f aca="false">X5+1</f>
        <v>20</v>
      </c>
      <c r="Z5" s="24" t="n">
        <f aca="false">Y5+1</f>
        <v>21</v>
      </c>
      <c r="AA5" s="24" t="n">
        <f aca="false">Z5+1</f>
        <v>22</v>
      </c>
      <c r="AB5" s="24" t="n">
        <f aca="false">AA5+1</f>
        <v>23</v>
      </c>
      <c r="AC5" s="24" t="n">
        <f aca="false">AB5+1</f>
        <v>24</v>
      </c>
      <c r="AD5" s="24" t="n">
        <f aca="false">AC5+1</f>
        <v>25</v>
      </c>
    </row>
    <row r="6" customFormat="false" ht="15" hidden="false" customHeight="true" outlineLevel="0" collapsed="false">
      <c r="B6" s="4" t="s">
        <v>394</v>
      </c>
      <c r="C6" s="3"/>
      <c r="E6" s="63" t="n">
        <f aca="false">Inputs!$C$7+E5</f>
        <v>2028</v>
      </c>
      <c r="F6" s="63" t="n">
        <f aca="false">Inputs!$C$7+F5</f>
        <v>2029</v>
      </c>
      <c r="G6" s="63" t="n">
        <f aca="false">Inputs!$C$7+G5</f>
        <v>2030</v>
      </c>
      <c r="H6" s="63" t="n">
        <f aca="false">Inputs!$C$7+H5</f>
        <v>2031</v>
      </c>
      <c r="I6" s="63" t="n">
        <f aca="false">Inputs!$C$7+I5</f>
        <v>2032</v>
      </c>
      <c r="J6" s="63" t="n">
        <f aca="false">Inputs!$C$7+J5</f>
        <v>2033</v>
      </c>
      <c r="K6" s="63" t="n">
        <f aca="false">Inputs!$C$7+K5</f>
        <v>2034</v>
      </c>
      <c r="L6" s="63" t="n">
        <f aca="false">Inputs!$C$7+L5</f>
        <v>2035</v>
      </c>
      <c r="M6" s="63" t="n">
        <f aca="false">Inputs!$C$7+M5</f>
        <v>2036</v>
      </c>
      <c r="N6" s="63" t="n">
        <f aca="false">Inputs!$C$7+N5</f>
        <v>2037</v>
      </c>
      <c r="O6" s="63" t="n">
        <f aca="false">Inputs!$C$7+O5</f>
        <v>2038</v>
      </c>
      <c r="P6" s="63" t="n">
        <f aca="false">Inputs!$C$7+P5</f>
        <v>2039</v>
      </c>
      <c r="Q6" s="63" t="n">
        <f aca="false">Inputs!$C$7+Q5</f>
        <v>2040</v>
      </c>
      <c r="R6" s="63" t="n">
        <f aca="false">Inputs!$C$7+R5</f>
        <v>2041</v>
      </c>
      <c r="S6" s="63" t="n">
        <f aca="false">Inputs!$C$7+S5</f>
        <v>2042</v>
      </c>
      <c r="T6" s="63" t="n">
        <f aca="false">Inputs!$C$7+T5</f>
        <v>2043</v>
      </c>
      <c r="U6" s="63" t="n">
        <f aca="false">Inputs!$C$7+U5</f>
        <v>2044</v>
      </c>
      <c r="V6" s="63" t="n">
        <f aca="false">Inputs!$C$7+V5</f>
        <v>2045</v>
      </c>
      <c r="W6" s="63" t="n">
        <f aca="false">Inputs!$C$7+W5</f>
        <v>2046</v>
      </c>
      <c r="X6" s="63" t="n">
        <f aca="false">Inputs!$C$7+X5</f>
        <v>2047</v>
      </c>
      <c r="Y6" s="63" t="n">
        <f aca="false">Inputs!$C$7+Y5</f>
        <v>2048</v>
      </c>
      <c r="Z6" s="63" t="n">
        <f aca="false">Inputs!$C$7+Z5</f>
        <v>2049</v>
      </c>
      <c r="AA6" s="63" t="n">
        <f aca="false">Inputs!$C$7+AA5</f>
        <v>2050</v>
      </c>
      <c r="AB6" s="63" t="n">
        <f aca="false">Inputs!$C$7+AB5</f>
        <v>2051</v>
      </c>
      <c r="AC6" s="63" t="n">
        <f aca="false">Inputs!$C$7+AC5</f>
        <v>2052</v>
      </c>
      <c r="AD6" s="63" t="n">
        <f aca="false">Inputs!$C$7+AD5</f>
        <v>2053</v>
      </c>
    </row>
    <row r="7" customFormat="false" ht="15" hidden="false" customHeight="true" outlineLevel="0" collapsed="false">
      <c r="B7" s="4" t="s">
        <v>686</v>
      </c>
      <c r="C7" s="3"/>
      <c r="E7" s="45" t="n">
        <f aca="false">IF(E5=0,Inputs!$C$9/12,IF(E5&lt;Inputs!$C$17,1,IF(E5=Inputs!$C$17,1-Inputs!$C$9/12,0)))</f>
        <v>0.416666666666667</v>
      </c>
      <c r="F7" s="45" t="n">
        <f aca="false">IF(F5=0,Inputs!$C$9/12,IF(F5&lt;Inputs!$C$17,1,IF(F5=Inputs!$C$17,1-Inputs!$C$9/12,0)))</f>
        <v>1</v>
      </c>
      <c r="G7" s="45" t="n">
        <f aca="false">IF(G5=0,Inputs!$C$9/12,IF(G5&lt;Inputs!$C$17,1,IF(G5=Inputs!$C$17,1-Inputs!$C$9/12,0)))</f>
        <v>1</v>
      </c>
      <c r="H7" s="45" t="n">
        <f aca="false">IF(H5=0,Inputs!$C$9/12,IF(H5&lt;Inputs!$C$17,1,IF(H5=Inputs!$C$17,1-Inputs!$C$9/12,0)))</f>
        <v>1</v>
      </c>
      <c r="I7" s="45" t="n">
        <f aca="false">IF(I5=0,Inputs!$C$9/12,IF(I5&lt;Inputs!$C$17,1,IF(I5=Inputs!$C$17,1-Inputs!$C$9/12,0)))</f>
        <v>1</v>
      </c>
      <c r="J7" s="45" t="n">
        <f aca="false">IF(J5=0,Inputs!$C$9/12,IF(J5&lt;Inputs!$C$17,1,IF(J5=Inputs!$C$17,1-Inputs!$C$9/12,0)))</f>
        <v>1</v>
      </c>
      <c r="K7" s="45" t="n">
        <f aca="false">IF(K5=0,Inputs!$C$9/12,IF(K5&lt;Inputs!$C$17,1,IF(K5=Inputs!$C$17,1-Inputs!$C$9/12,0)))</f>
        <v>1</v>
      </c>
      <c r="L7" s="45" t="n">
        <f aca="false">IF(L5=0,Inputs!$C$9/12,IF(L5&lt;Inputs!$C$17,1,IF(L5=Inputs!$C$17,1-Inputs!$C$9/12,0)))</f>
        <v>1</v>
      </c>
      <c r="M7" s="45" t="n">
        <f aca="false">IF(M5=0,Inputs!$C$9/12,IF(M5&lt;Inputs!$C$17,1,IF(M5=Inputs!$C$17,1-Inputs!$C$9/12,0)))</f>
        <v>1</v>
      </c>
      <c r="N7" s="45" t="n">
        <f aca="false">IF(N5=0,Inputs!$C$9/12,IF(N5&lt;Inputs!$C$17,1,IF(N5=Inputs!$C$17,1-Inputs!$C$9/12,0)))</f>
        <v>1</v>
      </c>
      <c r="O7" s="45" t="n">
        <f aca="false">IF(O5=0,Inputs!$C$9/12,IF(O5&lt;Inputs!$C$17,1,IF(O5=Inputs!$C$17,1-Inputs!$C$9/12,0)))</f>
        <v>1</v>
      </c>
      <c r="P7" s="45" t="n">
        <f aca="false">IF(P5=0,Inputs!$C$9/12,IF(P5&lt;Inputs!$C$17,1,IF(P5=Inputs!$C$17,1-Inputs!$C$9/12,0)))</f>
        <v>1</v>
      </c>
      <c r="Q7" s="45" t="n">
        <f aca="false">IF(Q5=0,Inputs!$C$9/12,IF(Q5&lt;Inputs!$C$17,1,IF(Q5=Inputs!$C$17,1-Inputs!$C$9/12,0)))</f>
        <v>1</v>
      </c>
      <c r="R7" s="45" t="n">
        <f aca="false">IF(R5=0,Inputs!$C$9/12,IF(R5&lt;Inputs!$C$17,1,IF(R5=Inputs!$C$17,1-Inputs!$C$9/12,0)))</f>
        <v>1</v>
      </c>
      <c r="S7" s="45" t="n">
        <f aca="false">IF(S5=0,Inputs!$C$9/12,IF(S5&lt;Inputs!$C$17,1,IF(S5=Inputs!$C$17,1-Inputs!$C$9/12,0)))</f>
        <v>1</v>
      </c>
      <c r="T7" s="45" t="n">
        <f aca="false">IF(T5=0,Inputs!$C$9/12,IF(T5&lt;Inputs!$C$17,1,IF(T5=Inputs!$C$17,1-Inputs!$C$9/12,0)))</f>
        <v>1</v>
      </c>
      <c r="U7" s="45" t="n">
        <f aca="false">IF(U5=0,Inputs!$C$9/12,IF(U5&lt;Inputs!$C$17,1,IF(U5=Inputs!$C$17,1-Inputs!$C$9/12,0)))</f>
        <v>1</v>
      </c>
      <c r="V7" s="45" t="n">
        <f aca="false">IF(V5=0,Inputs!$C$9/12,IF(V5&lt;Inputs!$C$17,1,IF(V5=Inputs!$C$17,1-Inputs!$C$9/12,0)))</f>
        <v>1</v>
      </c>
      <c r="W7" s="45" t="n">
        <f aca="false">IF(W5=0,Inputs!$C$9/12,IF(W5&lt;Inputs!$C$17,1,IF(W5=Inputs!$C$17,1-Inputs!$C$9/12,0)))</f>
        <v>1</v>
      </c>
      <c r="X7" s="45" t="n">
        <f aca="false">IF(X5=0,Inputs!$C$9/12,IF(X5&lt;Inputs!$C$17,1,IF(X5=Inputs!$C$17,1-Inputs!$C$9/12,0)))</f>
        <v>1</v>
      </c>
      <c r="Y7" s="45" t="n">
        <f aca="false">IF(Y5=0,Inputs!$C$9/12,IF(Y5&lt;Inputs!$C$17,1,IF(Y5=Inputs!$C$17,1-Inputs!$C$9/12,0)))</f>
        <v>1</v>
      </c>
      <c r="Z7" s="45" t="n">
        <f aca="false">IF(Z5=0,Inputs!$C$9/12,IF(Z5&lt;Inputs!$C$17,1,IF(Z5=Inputs!$C$17,1-Inputs!$C$9/12,0)))</f>
        <v>1</v>
      </c>
      <c r="AA7" s="45" t="n">
        <f aca="false">IF(AA5=0,Inputs!$C$9/12,IF(AA5&lt;Inputs!$C$17,1,IF(AA5=Inputs!$C$17,1-Inputs!$C$9/12,0)))</f>
        <v>1</v>
      </c>
      <c r="AB7" s="45" t="n">
        <f aca="false">IF(AB5=0,Inputs!$C$9/12,IF(AB5&lt;Inputs!$C$17,1,IF(AB5=Inputs!$C$17,1-Inputs!$C$9/12,0)))</f>
        <v>1</v>
      </c>
      <c r="AC7" s="45" t="n">
        <f aca="false">IF(AC5=0,Inputs!$C$9/12,IF(AC5&lt;Inputs!$C$17,1,IF(AC5=Inputs!$C$17,1-Inputs!$C$9/12,0)))</f>
        <v>1</v>
      </c>
      <c r="AD7" s="45" t="n">
        <f aca="false">IF(AD5=0,Inputs!$C$9/12,IF(AD5&lt;Inputs!$C$17,1,IF(AD5=Inputs!$C$17,1-Inputs!$C$9/12,0)))</f>
        <v>0.583333333333333</v>
      </c>
    </row>
    <row r="8" customFormat="false" ht="15" hidden="false" customHeight="true" outlineLevel="0" collapsed="false">
      <c r="B8" s="4" t="s">
        <v>687</v>
      </c>
      <c r="C8" s="3"/>
      <c r="E8" s="24" t="n">
        <f aca="false">IF(AND(E5&gt;=1,E5&lt;=Inputs!$C$31),1,0)</f>
        <v>0</v>
      </c>
      <c r="F8" s="24" t="n">
        <f aca="false">IF(AND(F5&gt;=1,F5&lt;=Inputs!$C$31),1,0)</f>
        <v>1</v>
      </c>
      <c r="G8" s="24" t="n">
        <f aca="false">IF(AND(G5&gt;=1,G5&lt;=Inputs!$C$31),1,0)</f>
        <v>1</v>
      </c>
      <c r="H8" s="24" t="n">
        <f aca="false">IF(AND(H5&gt;=1,H5&lt;=Inputs!$C$31),1,0)</f>
        <v>1</v>
      </c>
      <c r="I8" s="24" t="n">
        <f aca="false">IF(AND(I5&gt;=1,I5&lt;=Inputs!$C$31),1,0)</f>
        <v>1</v>
      </c>
      <c r="J8" s="24" t="n">
        <f aca="false">IF(AND(J5&gt;=1,J5&lt;=Inputs!$C$31),1,0)</f>
        <v>1</v>
      </c>
      <c r="K8" s="24" t="n">
        <f aca="false">IF(AND(K5&gt;=1,K5&lt;=Inputs!$C$31),1,0)</f>
        <v>1</v>
      </c>
      <c r="L8" s="24" t="n">
        <f aca="false">IF(AND(L5&gt;=1,L5&lt;=Inputs!$C$31),1,0)</f>
        <v>1</v>
      </c>
      <c r="M8" s="24" t="n">
        <f aca="false">IF(AND(M5&gt;=1,M5&lt;=Inputs!$C$31),1,0)</f>
        <v>1</v>
      </c>
      <c r="N8" s="24" t="n">
        <f aca="false">IF(AND(N5&gt;=1,N5&lt;=Inputs!$C$31),1,0)</f>
        <v>1</v>
      </c>
      <c r="O8" s="24" t="n">
        <f aca="false">IF(AND(O5&gt;=1,O5&lt;=Inputs!$C$31),1,0)</f>
        <v>1</v>
      </c>
      <c r="P8" s="24" t="n">
        <f aca="false">IF(AND(P5&gt;=1,P5&lt;=Inputs!$C$31),1,0)</f>
        <v>0</v>
      </c>
      <c r="Q8" s="24" t="n">
        <f aca="false">IF(AND(Q5&gt;=1,Q5&lt;=Inputs!$C$31),1,0)</f>
        <v>0</v>
      </c>
      <c r="R8" s="24" t="n">
        <f aca="false">IF(AND(R5&gt;=1,R5&lt;=Inputs!$C$31),1,0)</f>
        <v>0</v>
      </c>
      <c r="S8" s="24" t="n">
        <f aca="false">IF(AND(S5&gt;=1,S5&lt;=Inputs!$C$31),1,0)</f>
        <v>0</v>
      </c>
      <c r="T8" s="24" t="n">
        <f aca="false">IF(AND(T5&gt;=1,T5&lt;=Inputs!$C$31),1,0)</f>
        <v>0</v>
      </c>
      <c r="U8" s="24" t="n">
        <f aca="false">IF(AND(U5&gt;=1,U5&lt;=Inputs!$C$31),1,0)</f>
        <v>0</v>
      </c>
      <c r="V8" s="24" t="n">
        <f aca="false">IF(AND(V5&gt;=1,V5&lt;=Inputs!$C$31),1,0)</f>
        <v>0</v>
      </c>
      <c r="W8" s="24" t="n">
        <f aca="false">IF(AND(W5&gt;=1,W5&lt;=Inputs!$C$31),1,0)</f>
        <v>0</v>
      </c>
      <c r="X8" s="24" t="n">
        <f aca="false">IF(AND(X5&gt;=1,X5&lt;=Inputs!$C$31),1,0)</f>
        <v>0</v>
      </c>
      <c r="Y8" s="24" t="n">
        <f aca="false">IF(AND(Y5&gt;=1,Y5&lt;=Inputs!$C$31),1,0)</f>
        <v>0</v>
      </c>
      <c r="Z8" s="24" t="n">
        <f aca="false">IF(AND(Z5&gt;=1,Z5&lt;=Inputs!$C$31),1,0)</f>
        <v>0</v>
      </c>
      <c r="AA8" s="24" t="n">
        <f aca="false">IF(AND(AA5&gt;=1,AA5&lt;=Inputs!$C$31),1,0)</f>
        <v>0</v>
      </c>
      <c r="AB8" s="24" t="n">
        <f aca="false">IF(AND(AB5&gt;=1,AB5&lt;=Inputs!$C$31),1,0)</f>
        <v>0</v>
      </c>
      <c r="AC8" s="24" t="n">
        <f aca="false">IF(AND(AC5&gt;=1,AC5&lt;=Inputs!$C$31),1,0)</f>
        <v>0</v>
      </c>
      <c r="AD8" s="24" t="n">
        <f aca="false">IF(AND(AD5&gt;=1,AD5&lt;=Inputs!$C$31),1,0)</f>
        <v>0</v>
      </c>
    </row>
    <row r="9" customFormat="false" ht="15" hidden="false" customHeight="true" outlineLevel="0" collapsed="false">
      <c r="B9" s="21" t="s">
        <v>688</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row>
    <row r="10" customFormat="false" ht="15" hidden="false" customHeight="true" outlineLevel="0" collapsed="false">
      <c r="B10" s="4" t="s">
        <v>689</v>
      </c>
      <c r="C10" s="3"/>
      <c r="E10" s="64" t="n">
        <f aca="false">(1-Inputs!$C$15)^MAX(0,E5-1)</f>
        <v>1</v>
      </c>
      <c r="F10" s="64" t="n">
        <f aca="false">(1-Inputs!$C$15)^MAX(0,F5-1)</f>
        <v>1</v>
      </c>
      <c r="G10" s="64" t="n">
        <f aca="false">(1-Inputs!$C$15)^MAX(0,G5-1)</f>
        <v>0.996</v>
      </c>
      <c r="H10" s="64" t="n">
        <f aca="false">(1-Inputs!$C$15)^MAX(0,H5-1)</f>
        <v>0.992016</v>
      </c>
      <c r="I10" s="64" t="n">
        <f aca="false">(1-Inputs!$C$15)^MAX(0,I5-1)</f>
        <v>0.988047936</v>
      </c>
      <c r="J10" s="64" t="n">
        <f aca="false">(1-Inputs!$C$15)^MAX(0,J5-1)</f>
        <v>0.984095744256</v>
      </c>
      <c r="K10" s="64" t="n">
        <f aca="false">(1-Inputs!$C$15)^MAX(0,K5-1)</f>
        <v>0.980159361278976</v>
      </c>
      <c r="L10" s="64" t="n">
        <f aca="false">(1-Inputs!$C$15)^MAX(0,L5-1)</f>
        <v>0.97623872383386</v>
      </c>
      <c r="M10" s="64" t="n">
        <f aca="false">(1-Inputs!$C$15)^MAX(0,M5-1)</f>
        <v>0.972333768938525</v>
      </c>
      <c r="N10" s="64" t="n">
        <f aca="false">(1-Inputs!$C$15)^MAX(0,N5-1)</f>
        <v>0.968444433862771</v>
      </c>
      <c r="O10" s="64" t="n">
        <f aca="false">(1-Inputs!$C$15)^MAX(0,O5-1)</f>
        <v>0.964570656127319</v>
      </c>
      <c r="P10" s="64" t="n">
        <f aca="false">(1-Inputs!$C$15)^MAX(0,P5-1)</f>
        <v>0.96071237350281</v>
      </c>
      <c r="Q10" s="64" t="n">
        <f aca="false">(1-Inputs!$C$15)^MAX(0,Q5-1)</f>
        <v>0.956869524008799</v>
      </c>
      <c r="R10" s="64" t="n">
        <f aca="false">(1-Inputs!$C$15)^MAX(0,R5-1)</f>
        <v>0.953042045912764</v>
      </c>
      <c r="S10" s="64" t="n">
        <f aca="false">(1-Inputs!$C$15)^MAX(0,S5-1)</f>
        <v>0.949229877729113</v>
      </c>
      <c r="T10" s="64" t="n">
        <f aca="false">(1-Inputs!$C$15)^MAX(0,T5-1)</f>
        <v>0.945432958218196</v>
      </c>
      <c r="U10" s="64" t="n">
        <f aca="false">(1-Inputs!$C$15)^MAX(0,U5-1)</f>
        <v>0.941651226385323</v>
      </c>
      <c r="V10" s="64" t="n">
        <f aca="false">(1-Inputs!$C$15)^MAX(0,V5-1)</f>
        <v>0.937884621479782</v>
      </c>
      <c r="W10" s="64" t="n">
        <f aca="false">(1-Inputs!$C$15)^MAX(0,W5-1)</f>
        <v>0.934133082993863</v>
      </c>
      <c r="X10" s="64" t="n">
        <f aca="false">(1-Inputs!$C$15)^MAX(0,X5-1)</f>
        <v>0.930396550661888</v>
      </c>
      <c r="Y10" s="64" t="n">
        <f aca="false">(1-Inputs!$C$15)^MAX(0,Y5-1)</f>
        <v>0.92667496445924</v>
      </c>
      <c r="Z10" s="64" t="n">
        <f aca="false">(1-Inputs!$C$15)^MAX(0,Z5-1)</f>
        <v>0.922968264601403</v>
      </c>
      <c r="AA10" s="64" t="n">
        <f aca="false">(1-Inputs!$C$15)^MAX(0,AA5-1)</f>
        <v>0.919276391542998</v>
      </c>
      <c r="AB10" s="64" t="n">
        <f aca="false">(1-Inputs!$C$15)^MAX(0,AB5-1)</f>
        <v>0.915599285976825</v>
      </c>
      <c r="AC10" s="64" t="n">
        <f aca="false">(1-Inputs!$C$15)^MAX(0,AC5-1)</f>
        <v>0.911936888832918</v>
      </c>
      <c r="AD10" s="64" t="n">
        <f aca="false">(1-Inputs!$C$15)^MAX(0,AD5-1)</f>
        <v>0.908289141277586</v>
      </c>
    </row>
    <row r="11" customFormat="false" ht="15" hidden="false" customHeight="true" outlineLevel="0" collapsed="false">
      <c r="B11" s="4" t="s">
        <v>690</v>
      </c>
      <c r="C11" s="3" t="s">
        <v>691</v>
      </c>
      <c r="D11" s="41" t="n">
        <f aca="false">SUM(E11:AD11)</f>
        <v>890508.282152137</v>
      </c>
      <c r="E11" s="24" t="n">
        <f aca="false">Inputs!$C$6*Inputs!$C$14*E10*E7</f>
        <v>15541.6666666667</v>
      </c>
      <c r="F11" s="24" t="n">
        <f aca="false">Inputs!$C$6*Inputs!$C$14*F10*F7</f>
        <v>37300</v>
      </c>
      <c r="G11" s="24" t="n">
        <f aca="false">Inputs!$C$6*Inputs!$C$14*G10*G7</f>
        <v>37150.8</v>
      </c>
      <c r="H11" s="24" t="n">
        <f aca="false">Inputs!$C$6*Inputs!$C$14*H10*H7</f>
        <v>37002.1968</v>
      </c>
      <c r="I11" s="24" t="n">
        <f aca="false">Inputs!$C$6*Inputs!$C$14*I10*I7</f>
        <v>36854.1880128</v>
      </c>
      <c r="J11" s="24" t="n">
        <f aca="false">Inputs!$C$6*Inputs!$C$14*J10*J7</f>
        <v>36706.7712607488</v>
      </c>
      <c r="K11" s="24" t="n">
        <f aca="false">Inputs!$C$6*Inputs!$C$14*K10*K7</f>
        <v>36559.9441757058</v>
      </c>
      <c r="L11" s="24" t="n">
        <f aca="false">Inputs!$C$6*Inputs!$C$14*L10*L7</f>
        <v>36413.704399003</v>
      </c>
      <c r="M11" s="24" t="n">
        <f aca="false">Inputs!$C$6*Inputs!$C$14*M10*M7</f>
        <v>36268.049581407</v>
      </c>
      <c r="N11" s="24" t="n">
        <f aca="false">Inputs!$C$6*Inputs!$C$14*N10*N7</f>
        <v>36122.9773830813</v>
      </c>
      <c r="O11" s="24" t="n">
        <f aca="false">Inputs!$C$6*Inputs!$C$14*O10*O7</f>
        <v>35978.485473549</v>
      </c>
      <c r="P11" s="24" t="n">
        <f aca="false">Inputs!$C$6*Inputs!$C$14*P10*P7</f>
        <v>35834.5715316548</v>
      </c>
      <c r="Q11" s="24" t="n">
        <f aca="false">Inputs!$C$6*Inputs!$C$14*Q10*Q7</f>
        <v>35691.2332455282</v>
      </c>
      <c r="R11" s="24" t="n">
        <f aca="false">Inputs!$C$6*Inputs!$C$14*R10*R7</f>
        <v>35548.4683125461</v>
      </c>
      <c r="S11" s="24" t="n">
        <f aca="false">Inputs!$C$6*Inputs!$C$14*S10*S7</f>
        <v>35406.2744392959</v>
      </c>
      <c r="T11" s="24" t="n">
        <f aca="false">Inputs!$C$6*Inputs!$C$14*T10*T7</f>
        <v>35264.6493415387</v>
      </c>
      <c r="U11" s="24" t="n">
        <f aca="false">Inputs!$C$6*Inputs!$C$14*U10*U7</f>
        <v>35123.5907441726</v>
      </c>
      <c r="V11" s="24" t="n">
        <f aca="false">Inputs!$C$6*Inputs!$C$14*V10*V7</f>
        <v>34983.0963811959</v>
      </c>
      <c r="W11" s="24" t="n">
        <f aca="false">Inputs!$C$6*Inputs!$C$14*W10*W7</f>
        <v>34843.1639956711</v>
      </c>
      <c r="X11" s="24" t="n">
        <f aca="false">Inputs!$C$6*Inputs!$C$14*X10*X7</f>
        <v>34703.7913396884</v>
      </c>
      <c r="Y11" s="24" t="n">
        <f aca="false">Inputs!$C$6*Inputs!$C$14*Y10*Y7</f>
        <v>34564.9761743297</v>
      </c>
      <c r="Z11" s="24" t="n">
        <f aca="false">Inputs!$C$6*Inputs!$C$14*Z10*Z7</f>
        <v>34426.7162696323</v>
      </c>
      <c r="AA11" s="24" t="n">
        <f aca="false">Inputs!$C$6*Inputs!$C$14*AA10*AA7</f>
        <v>34289.0094045538</v>
      </c>
      <c r="AB11" s="24" t="n">
        <f aca="false">Inputs!$C$6*Inputs!$C$14*AB10*AB7</f>
        <v>34151.8533669356</v>
      </c>
      <c r="AC11" s="24" t="n">
        <f aca="false">Inputs!$C$6*Inputs!$C$14*AC10*AC7</f>
        <v>34015.2459534679</v>
      </c>
      <c r="AD11" s="24" t="n">
        <f aca="false">Inputs!$C$6*Inputs!$C$14*AD10*AD7</f>
        <v>19762.8578989648</v>
      </c>
    </row>
    <row r="12" customFormat="false" ht="15" hidden="false" customHeight="true" outlineLevel="0" collapsed="false">
      <c r="B12" s="4" t="s">
        <v>692</v>
      </c>
      <c r="C12" s="3" t="s">
        <v>691</v>
      </c>
      <c r="D12" s="41" t="n">
        <f aca="false">SUM(E12:AD12)</f>
        <v>833515.752094401</v>
      </c>
      <c r="E12" s="24" t="n">
        <f aca="false">E11*(1-Inputs!$C$39)</f>
        <v>14547</v>
      </c>
      <c r="F12" s="24" t="n">
        <f aca="false">F11*(1-Inputs!$C$39)</f>
        <v>34912.8</v>
      </c>
      <c r="G12" s="24" t="n">
        <f aca="false">G11*(1-Inputs!$C$39)</f>
        <v>34773.1488</v>
      </c>
      <c r="H12" s="24" t="n">
        <f aca="false">H11*(1-Inputs!$C$39)</f>
        <v>34634.0562048</v>
      </c>
      <c r="I12" s="24" t="n">
        <f aca="false">I11*(1-Inputs!$C$39)</f>
        <v>34495.5199799808</v>
      </c>
      <c r="J12" s="24" t="n">
        <f aca="false">J11*(1-Inputs!$C$39)</f>
        <v>34357.5379000609</v>
      </c>
      <c r="K12" s="24" t="n">
        <f aca="false">K11*(1-Inputs!$C$39)</f>
        <v>34220.1077484606</v>
      </c>
      <c r="L12" s="24" t="n">
        <f aca="false">L11*(1-Inputs!$C$39)</f>
        <v>34083.2273174668</v>
      </c>
      <c r="M12" s="24" t="n">
        <f aca="false">M11*(1-Inputs!$C$39)</f>
        <v>33946.8944081969</v>
      </c>
      <c r="N12" s="24" t="n">
        <f aca="false">N11*(1-Inputs!$C$39)</f>
        <v>33811.1068305641</v>
      </c>
      <c r="O12" s="24" t="n">
        <f aca="false">O11*(1-Inputs!$C$39)</f>
        <v>33675.8624032419</v>
      </c>
      <c r="P12" s="24" t="n">
        <f aca="false">P11*(1-Inputs!$C$39)</f>
        <v>33541.1589536289</v>
      </c>
      <c r="Q12" s="24" t="n">
        <f aca="false">Q11*(1-Inputs!$C$39)</f>
        <v>33406.9943178144</v>
      </c>
      <c r="R12" s="24" t="n">
        <f aca="false">R11*(1-Inputs!$C$39)</f>
        <v>33273.3663405431</v>
      </c>
      <c r="S12" s="24" t="n">
        <f aca="false">S11*(1-Inputs!$C$39)</f>
        <v>33140.272875181</v>
      </c>
      <c r="T12" s="24" t="n">
        <f aca="false">T11*(1-Inputs!$C$39)</f>
        <v>33007.7117836802</v>
      </c>
      <c r="U12" s="24" t="n">
        <f aca="false">U11*(1-Inputs!$C$39)</f>
        <v>32875.6809365455</v>
      </c>
      <c r="V12" s="24" t="n">
        <f aca="false">V11*(1-Inputs!$C$39)</f>
        <v>32744.1782127993</v>
      </c>
      <c r="W12" s="24" t="n">
        <f aca="false">W11*(1-Inputs!$C$39)</f>
        <v>32613.2014999481</v>
      </c>
      <c r="X12" s="24" t="n">
        <f aca="false">X11*(1-Inputs!$C$39)</f>
        <v>32482.7486939483</v>
      </c>
      <c r="Y12" s="24" t="n">
        <f aca="false">Y11*(1-Inputs!$C$39)</f>
        <v>32352.8176991726</v>
      </c>
      <c r="Z12" s="24" t="n">
        <f aca="false">Z11*(1-Inputs!$C$39)</f>
        <v>32223.4064283759</v>
      </c>
      <c r="AA12" s="24" t="n">
        <f aca="false">AA11*(1-Inputs!$C$39)</f>
        <v>32094.5128026624</v>
      </c>
      <c r="AB12" s="24" t="n">
        <f aca="false">AB11*(1-Inputs!$C$39)</f>
        <v>31966.1347514517</v>
      </c>
      <c r="AC12" s="24" t="n">
        <f aca="false">AC11*(1-Inputs!$C$39)</f>
        <v>31838.2702124459</v>
      </c>
      <c r="AD12" s="24" t="n">
        <f aca="false">AD11*(1-Inputs!$C$39)</f>
        <v>18498.0349934311</v>
      </c>
    </row>
    <row r="13" customFormat="false" ht="15" hidden="false" customHeight="true" outlineLevel="0" collapsed="false">
      <c r="B13" s="4" t="s">
        <v>693</v>
      </c>
      <c r="C13" s="3" t="s">
        <v>297</v>
      </c>
      <c r="D13" s="59" t="n">
        <f aca="false">SUM(E13:AD13)</f>
        <v>359.765345989463</v>
      </c>
      <c r="E13" s="57" t="n">
        <f aca="false">E11*Inputs!$C$16/10000</f>
        <v>6.27883333333333</v>
      </c>
      <c r="F13" s="57" t="n">
        <f aca="false">F11*Inputs!$C$16/10000</f>
        <v>15.0692</v>
      </c>
      <c r="G13" s="57" t="n">
        <f aca="false">G11*Inputs!$C$16/10000</f>
        <v>15.0089232</v>
      </c>
      <c r="H13" s="57" t="n">
        <f aca="false">H11*Inputs!$C$16/10000</f>
        <v>14.9488875072</v>
      </c>
      <c r="I13" s="57" t="n">
        <f aca="false">I11*Inputs!$C$16/10000</f>
        <v>14.8890919571712</v>
      </c>
      <c r="J13" s="57" t="n">
        <f aca="false">J11*Inputs!$C$16/10000</f>
        <v>14.8295355893425</v>
      </c>
      <c r="K13" s="57" t="n">
        <f aca="false">K11*Inputs!$C$16/10000</f>
        <v>14.7702174469851</v>
      </c>
      <c r="L13" s="57" t="n">
        <f aca="false">L11*Inputs!$C$16/10000</f>
        <v>14.7111365771972</v>
      </c>
      <c r="M13" s="57" t="n">
        <f aca="false">M11*Inputs!$C$16/10000</f>
        <v>14.6522920308884</v>
      </c>
      <c r="N13" s="57" t="n">
        <f aca="false">N11*Inputs!$C$16/10000</f>
        <v>14.5936828627649</v>
      </c>
      <c r="O13" s="57" t="n">
        <f aca="false">O11*Inputs!$C$16/10000</f>
        <v>14.5353081313138</v>
      </c>
      <c r="P13" s="57" t="n">
        <f aca="false">P11*Inputs!$C$16/10000</f>
        <v>14.4771668987885</v>
      </c>
      <c r="Q13" s="57" t="n">
        <f aca="false">Q11*Inputs!$C$16/10000</f>
        <v>14.4192582311934</v>
      </c>
      <c r="R13" s="57" t="n">
        <f aca="false">R11*Inputs!$C$16/10000</f>
        <v>14.3615811982686</v>
      </c>
      <c r="S13" s="57" t="n">
        <f aca="false">S11*Inputs!$C$16/10000</f>
        <v>14.3041348734755</v>
      </c>
      <c r="T13" s="57" t="n">
        <f aca="false">T11*Inputs!$C$16/10000</f>
        <v>14.2469183339816</v>
      </c>
      <c r="U13" s="57" t="n">
        <f aca="false">U11*Inputs!$C$16/10000</f>
        <v>14.1899306606457</v>
      </c>
      <c r="V13" s="57" t="n">
        <f aca="false">V11*Inputs!$C$16/10000</f>
        <v>14.1331709380031</v>
      </c>
      <c r="W13" s="57" t="n">
        <f aca="false">W11*Inputs!$C$16/10000</f>
        <v>14.0766382542511</v>
      </c>
      <c r="X13" s="57" t="n">
        <f aca="false">X11*Inputs!$C$16/10000</f>
        <v>14.0203317012341</v>
      </c>
      <c r="Y13" s="57" t="n">
        <f aca="false">Y11*Inputs!$C$16/10000</f>
        <v>13.9642503744292</v>
      </c>
      <c r="Z13" s="57" t="n">
        <f aca="false">Z11*Inputs!$C$16/10000</f>
        <v>13.9083933729315</v>
      </c>
      <c r="AA13" s="57" t="n">
        <f aca="false">AA11*Inputs!$C$16/10000</f>
        <v>13.8527597994397</v>
      </c>
      <c r="AB13" s="57" t="n">
        <f aca="false">AB11*Inputs!$C$16/10000</f>
        <v>13.797348760242</v>
      </c>
      <c r="AC13" s="57" t="n">
        <f aca="false">AC11*Inputs!$C$16/10000</f>
        <v>13.742159365201</v>
      </c>
      <c r="AD13" s="57" t="n">
        <f aca="false">AD11*Inputs!$C$16/10000</f>
        <v>7.98419459118179</v>
      </c>
    </row>
    <row r="14" customFormat="false" ht="15" hidden="false" customHeight="true" outlineLevel="0" collapsed="false">
      <c r="B14" s="4" t="s">
        <v>694</v>
      </c>
      <c r="C14" s="3" t="s">
        <v>297</v>
      </c>
      <c r="D14" s="59" t="n">
        <f aca="false">SUM(E14:AD14)</f>
        <v>336.740363846138</v>
      </c>
      <c r="E14" s="57" t="n">
        <f aca="false">E12*Inputs!$C$16/10000</f>
        <v>5.876988</v>
      </c>
      <c r="F14" s="57" t="n">
        <f aca="false">F12*Inputs!$C$16/10000</f>
        <v>14.1047712</v>
      </c>
      <c r="G14" s="57" t="n">
        <f aca="false">G12*Inputs!$C$16/10000</f>
        <v>14.0483521152</v>
      </c>
      <c r="H14" s="57" t="n">
        <f aca="false">H12*Inputs!$C$16/10000</f>
        <v>13.9921587067392</v>
      </c>
      <c r="I14" s="57" t="n">
        <f aca="false">I12*Inputs!$C$16/10000</f>
        <v>13.9361900719122</v>
      </c>
      <c r="J14" s="57" t="n">
        <f aca="false">J12*Inputs!$C$16/10000</f>
        <v>13.8804453116246</v>
      </c>
      <c r="K14" s="57" t="n">
        <f aca="false">K12*Inputs!$C$16/10000</f>
        <v>13.8249235303781</v>
      </c>
      <c r="L14" s="57" t="n">
        <f aca="false">L12*Inputs!$C$16/10000</f>
        <v>13.7696238362566</v>
      </c>
      <c r="M14" s="57" t="n">
        <f aca="false">M12*Inputs!$C$16/10000</f>
        <v>13.7145453409116</v>
      </c>
      <c r="N14" s="57" t="n">
        <f aca="false">N12*Inputs!$C$16/10000</f>
        <v>13.6596871595479</v>
      </c>
      <c r="O14" s="57" t="n">
        <f aca="false">O12*Inputs!$C$16/10000</f>
        <v>13.6050484109097</v>
      </c>
      <c r="P14" s="57" t="n">
        <f aca="false">P12*Inputs!$C$16/10000</f>
        <v>13.5506282172661</v>
      </c>
      <c r="Q14" s="57" t="n">
        <f aca="false">Q12*Inputs!$C$16/10000</f>
        <v>13.496425704397</v>
      </c>
      <c r="R14" s="57" t="n">
        <f aca="false">R12*Inputs!$C$16/10000</f>
        <v>13.4424400015794</v>
      </c>
      <c r="S14" s="57" t="n">
        <f aca="false">S12*Inputs!$C$16/10000</f>
        <v>13.3886702415731</v>
      </c>
      <c r="T14" s="57" t="n">
        <f aca="false">T12*Inputs!$C$16/10000</f>
        <v>13.3351155606068</v>
      </c>
      <c r="U14" s="57" t="n">
        <f aca="false">U12*Inputs!$C$16/10000</f>
        <v>13.2817750983644</v>
      </c>
      <c r="V14" s="57" t="n">
        <f aca="false">V12*Inputs!$C$16/10000</f>
        <v>13.2286479979709</v>
      </c>
      <c r="W14" s="57" t="n">
        <f aca="false">W12*Inputs!$C$16/10000</f>
        <v>13.175733405979</v>
      </c>
      <c r="X14" s="57" t="n">
        <f aca="false">X12*Inputs!$C$16/10000</f>
        <v>13.1230304723551</v>
      </c>
      <c r="Y14" s="57" t="n">
        <f aca="false">Y12*Inputs!$C$16/10000</f>
        <v>13.0705383504657</v>
      </c>
      <c r="Z14" s="57" t="n">
        <f aca="false">Z12*Inputs!$C$16/10000</f>
        <v>13.0182561970638</v>
      </c>
      <c r="AA14" s="57" t="n">
        <f aca="false">AA12*Inputs!$C$16/10000</f>
        <v>12.9661831722756</v>
      </c>
      <c r="AB14" s="57" t="n">
        <f aca="false">AB12*Inputs!$C$16/10000</f>
        <v>12.9143184395865</v>
      </c>
      <c r="AC14" s="57" t="n">
        <f aca="false">AC12*Inputs!$C$16/10000</f>
        <v>12.8626611658281</v>
      </c>
      <c r="AD14" s="57" t="n">
        <f aca="false">AD12*Inputs!$C$16/10000</f>
        <v>7.47320613734615</v>
      </c>
    </row>
    <row r="15" customFormat="false" ht="15" hidden="false" customHeight="true" outlineLevel="0" collapsed="false">
      <c r="B15" s="4" t="s">
        <v>695</v>
      </c>
      <c r="C15" s="3" t="s">
        <v>297</v>
      </c>
      <c r="D15" s="59" t="n">
        <f aca="false">SUM(E15:AD15)</f>
        <v>58.25</v>
      </c>
      <c r="E15" s="57" t="n">
        <f aca="false">Inputs!$C$6*Inputs!$C$18*(1+Inputs!$C$19)^MAX(0,E5-1)*E7/10000</f>
        <v>0.970833333333333</v>
      </c>
      <c r="F15" s="57" t="n">
        <f aca="false">Inputs!$C$6*Inputs!$C$18*(1+Inputs!$C$19)^MAX(0,F5-1)*F7/10000</f>
        <v>2.33</v>
      </c>
      <c r="G15" s="57" t="n">
        <f aca="false">Inputs!$C$6*Inputs!$C$18*(1+Inputs!$C$19)^MAX(0,G5-1)*G7/10000</f>
        <v>2.33</v>
      </c>
      <c r="H15" s="57" t="n">
        <f aca="false">Inputs!$C$6*Inputs!$C$18*(1+Inputs!$C$19)^MAX(0,H5-1)*H7/10000</f>
        <v>2.33</v>
      </c>
      <c r="I15" s="57" t="n">
        <f aca="false">Inputs!$C$6*Inputs!$C$18*(1+Inputs!$C$19)^MAX(0,I5-1)*I7/10000</f>
        <v>2.33</v>
      </c>
      <c r="J15" s="57" t="n">
        <f aca="false">Inputs!$C$6*Inputs!$C$18*(1+Inputs!$C$19)^MAX(0,J5-1)*J7/10000</f>
        <v>2.33</v>
      </c>
      <c r="K15" s="57" t="n">
        <f aca="false">Inputs!$C$6*Inputs!$C$18*(1+Inputs!$C$19)^MAX(0,K5-1)*K7/10000</f>
        <v>2.33</v>
      </c>
      <c r="L15" s="57" t="n">
        <f aca="false">Inputs!$C$6*Inputs!$C$18*(1+Inputs!$C$19)^MAX(0,L5-1)*L7/10000</f>
        <v>2.33</v>
      </c>
      <c r="M15" s="57" t="n">
        <f aca="false">Inputs!$C$6*Inputs!$C$18*(1+Inputs!$C$19)^MAX(0,M5-1)*M7/10000</f>
        <v>2.33</v>
      </c>
      <c r="N15" s="57" t="n">
        <f aca="false">Inputs!$C$6*Inputs!$C$18*(1+Inputs!$C$19)^MAX(0,N5-1)*N7/10000</f>
        <v>2.33</v>
      </c>
      <c r="O15" s="57" t="n">
        <f aca="false">Inputs!$C$6*Inputs!$C$18*(1+Inputs!$C$19)^MAX(0,O5-1)*O7/10000</f>
        <v>2.33</v>
      </c>
      <c r="P15" s="57" t="n">
        <f aca="false">Inputs!$C$6*Inputs!$C$18*(1+Inputs!$C$19)^MAX(0,P5-1)*P7/10000</f>
        <v>2.33</v>
      </c>
      <c r="Q15" s="57" t="n">
        <f aca="false">Inputs!$C$6*Inputs!$C$18*(1+Inputs!$C$19)^MAX(0,Q5-1)*Q7/10000</f>
        <v>2.33</v>
      </c>
      <c r="R15" s="57" t="n">
        <f aca="false">Inputs!$C$6*Inputs!$C$18*(1+Inputs!$C$19)^MAX(0,R5-1)*R7/10000</f>
        <v>2.33</v>
      </c>
      <c r="S15" s="57" t="n">
        <f aca="false">Inputs!$C$6*Inputs!$C$18*(1+Inputs!$C$19)^MAX(0,S5-1)*S7/10000</f>
        <v>2.33</v>
      </c>
      <c r="T15" s="57" t="n">
        <f aca="false">Inputs!$C$6*Inputs!$C$18*(1+Inputs!$C$19)^MAX(0,T5-1)*T7/10000</f>
        <v>2.33</v>
      </c>
      <c r="U15" s="57" t="n">
        <f aca="false">Inputs!$C$6*Inputs!$C$18*(1+Inputs!$C$19)^MAX(0,U5-1)*U7/10000</f>
        <v>2.33</v>
      </c>
      <c r="V15" s="57" t="n">
        <f aca="false">Inputs!$C$6*Inputs!$C$18*(1+Inputs!$C$19)^MAX(0,V5-1)*V7/10000</f>
        <v>2.33</v>
      </c>
      <c r="W15" s="57" t="n">
        <f aca="false">Inputs!$C$6*Inputs!$C$18*(1+Inputs!$C$19)^MAX(0,W5-1)*W7/10000</f>
        <v>2.33</v>
      </c>
      <c r="X15" s="57" t="n">
        <f aca="false">Inputs!$C$6*Inputs!$C$18*(1+Inputs!$C$19)^MAX(0,X5-1)*X7/10000</f>
        <v>2.33</v>
      </c>
      <c r="Y15" s="57" t="n">
        <f aca="false">Inputs!$C$6*Inputs!$C$18*(1+Inputs!$C$19)^MAX(0,Y5-1)*Y7/10000</f>
        <v>2.33</v>
      </c>
      <c r="Z15" s="57" t="n">
        <f aca="false">Inputs!$C$6*Inputs!$C$18*(1+Inputs!$C$19)^MAX(0,Z5-1)*Z7/10000</f>
        <v>2.33</v>
      </c>
      <c r="AA15" s="57" t="n">
        <f aca="false">Inputs!$C$6*Inputs!$C$18*(1+Inputs!$C$19)^MAX(0,AA5-1)*AA7/10000</f>
        <v>2.33</v>
      </c>
      <c r="AB15" s="57" t="n">
        <f aca="false">Inputs!$C$6*Inputs!$C$18*(1+Inputs!$C$19)^MAX(0,AB5-1)*AB7/10000</f>
        <v>2.33</v>
      </c>
      <c r="AC15" s="57" t="n">
        <f aca="false">Inputs!$C$6*Inputs!$C$18*(1+Inputs!$C$19)^MAX(0,AC5-1)*AC7/10000</f>
        <v>2.33</v>
      </c>
      <c r="AD15" s="57" t="n">
        <f aca="false">Inputs!$C$6*Inputs!$C$18*(1+Inputs!$C$19)^MAX(0,AD5-1)*AD7/10000</f>
        <v>1.35916666666667</v>
      </c>
    </row>
    <row r="16" customFormat="false" ht="15" hidden="false" customHeight="true" outlineLevel="0" collapsed="false">
      <c r="B16" s="40" t="s">
        <v>696</v>
      </c>
      <c r="C16" s="3" t="s">
        <v>297</v>
      </c>
      <c r="D16" s="59" t="n">
        <f aca="false">SUM(E16:AD16)</f>
        <v>301.515345989463</v>
      </c>
      <c r="E16" s="57" t="n">
        <f aca="false">E13-E15</f>
        <v>5.308</v>
      </c>
      <c r="F16" s="57" t="n">
        <f aca="false">F13-F15</f>
        <v>12.7392</v>
      </c>
      <c r="G16" s="57" t="n">
        <f aca="false">G13-G15</f>
        <v>12.6789232</v>
      </c>
      <c r="H16" s="57" t="n">
        <f aca="false">H13-H15</f>
        <v>12.6188875072</v>
      </c>
      <c r="I16" s="57" t="n">
        <f aca="false">I13-I15</f>
        <v>12.5590919571712</v>
      </c>
      <c r="J16" s="57" t="n">
        <f aca="false">J13-J15</f>
        <v>12.4995355893425</v>
      </c>
      <c r="K16" s="57" t="n">
        <f aca="false">K13-K15</f>
        <v>12.4402174469851</v>
      </c>
      <c r="L16" s="57" t="n">
        <f aca="false">L13-L15</f>
        <v>12.3811365771972</v>
      </c>
      <c r="M16" s="57" t="n">
        <f aca="false">M13-M15</f>
        <v>12.3222920308884</v>
      </c>
      <c r="N16" s="57" t="n">
        <f aca="false">N13-N15</f>
        <v>12.2636828627649</v>
      </c>
      <c r="O16" s="57" t="n">
        <f aca="false">O13-O15</f>
        <v>12.2053081313138</v>
      </c>
      <c r="P16" s="57" t="n">
        <f aca="false">P13-P15</f>
        <v>12.1471668987885</v>
      </c>
      <c r="Q16" s="57" t="n">
        <f aca="false">Q13-Q15</f>
        <v>12.0892582311934</v>
      </c>
      <c r="R16" s="57" t="n">
        <f aca="false">R13-R15</f>
        <v>12.0315811982686</v>
      </c>
      <c r="S16" s="57" t="n">
        <f aca="false">S13-S15</f>
        <v>11.9741348734755</v>
      </c>
      <c r="T16" s="57" t="n">
        <f aca="false">T13-T15</f>
        <v>11.9169183339816</v>
      </c>
      <c r="U16" s="57" t="n">
        <f aca="false">U13-U15</f>
        <v>11.8599306606457</v>
      </c>
      <c r="V16" s="57" t="n">
        <f aca="false">V13-V15</f>
        <v>11.8031709380031</v>
      </c>
      <c r="W16" s="57" t="n">
        <f aca="false">W13-W15</f>
        <v>11.7466382542511</v>
      </c>
      <c r="X16" s="57" t="n">
        <f aca="false">X13-X15</f>
        <v>11.6903317012341</v>
      </c>
      <c r="Y16" s="57" t="n">
        <f aca="false">Y13-Y15</f>
        <v>11.6342503744292</v>
      </c>
      <c r="Z16" s="57" t="n">
        <f aca="false">Z13-Z15</f>
        <v>11.5783933729315</v>
      </c>
      <c r="AA16" s="57" t="n">
        <f aca="false">AA13-AA15</f>
        <v>11.5227597994397</v>
      </c>
      <c r="AB16" s="57" t="n">
        <f aca="false">AB13-AB15</f>
        <v>11.467348760242</v>
      </c>
      <c r="AC16" s="57" t="n">
        <f aca="false">AC13-AC15</f>
        <v>11.412159365201</v>
      </c>
      <c r="AD16" s="57" t="n">
        <f aca="false">AD13-AD15</f>
        <v>6.62502792451512</v>
      </c>
    </row>
    <row r="17" customFormat="false" ht="15" hidden="false" customHeight="true" outlineLevel="0" collapsed="false">
      <c r="B17" s="4" t="s">
        <v>697</v>
      </c>
      <c r="C17" s="3" t="s">
        <v>297</v>
      </c>
      <c r="D17" s="59" t="n">
        <f aca="false">SUM(E17:AD17)</f>
        <v>278.490363846138</v>
      </c>
      <c r="E17" s="57" t="n">
        <f aca="false">E14-E15</f>
        <v>4.90615466666667</v>
      </c>
      <c r="F17" s="57" t="n">
        <f aca="false">F14-F15</f>
        <v>11.7747712</v>
      </c>
      <c r="G17" s="57" t="n">
        <f aca="false">G14-G15</f>
        <v>11.7183521152</v>
      </c>
      <c r="H17" s="57" t="n">
        <f aca="false">H14-H15</f>
        <v>11.6621587067392</v>
      </c>
      <c r="I17" s="57" t="n">
        <f aca="false">I14-I15</f>
        <v>11.6061900719122</v>
      </c>
      <c r="J17" s="57" t="n">
        <f aca="false">J14-J15</f>
        <v>11.5504453116246</v>
      </c>
      <c r="K17" s="57" t="n">
        <f aca="false">K14-K15</f>
        <v>11.4949235303781</v>
      </c>
      <c r="L17" s="57" t="n">
        <f aca="false">L14-L15</f>
        <v>11.4396238362566</v>
      </c>
      <c r="M17" s="57" t="n">
        <f aca="false">M14-M15</f>
        <v>11.3845453409116</v>
      </c>
      <c r="N17" s="57" t="n">
        <f aca="false">N14-N15</f>
        <v>11.3296871595479</v>
      </c>
      <c r="O17" s="57" t="n">
        <f aca="false">O14-O15</f>
        <v>11.2750484109097</v>
      </c>
      <c r="P17" s="57" t="n">
        <f aca="false">P14-P15</f>
        <v>11.2206282172661</v>
      </c>
      <c r="Q17" s="57" t="n">
        <f aca="false">Q14-Q15</f>
        <v>11.166425704397</v>
      </c>
      <c r="R17" s="57" t="n">
        <f aca="false">R14-R15</f>
        <v>11.1124400015794</v>
      </c>
      <c r="S17" s="57" t="n">
        <f aca="false">S14-S15</f>
        <v>11.0586702415731</v>
      </c>
      <c r="T17" s="57" t="n">
        <f aca="false">T14-T15</f>
        <v>11.0051155606068</v>
      </c>
      <c r="U17" s="57" t="n">
        <f aca="false">U14-U15</f>
        <v>10.9517750983644</v>
      </c>
      <c r="V17" s="57" t="n">
        <f aca="false">V14-V15</f>
        <v>10.8986479979709</v>
      </c>
      <c r="W17" s="57" t="n">
        <f aca="false">W14-W15</f>
        <v>10.845733405979</v>
      </c>
      <c r="X17" s="57" t="n">
        <f aca="false">X14-X15</f>
        <v>10.7930304723551</v>
      </c>
      <c r="Y17" s="57" t="n">
        <f aca="false">Y14-Y15</f>
        <v>10.7405383504657</v>
      </c>
      <c r="Z17" s="57" t="n">
        <f aca="false">Z14-Z15</f>
        <v>10.6882561970638</v>
      </c>
      <c r="AA17" s="57" t="n">
        <f aca="false">AA14-AA15</f>
        <v>10.6361831722756</v>
      </c>
      <c r="AB17" s="57" t="n">
        <f aca="false">AB14-AB15</f>
        <v>10.5843184395865</v>
      </c>
      <c r="AC17" s="57" t="n">
        <f aca="false">AC14-AC15</f>
        <v>10.5326611658281</v>
      </c>
      <c r="AD17" s="57" t="n">
        <f aca="false">AD14-AD15</f>
        <v>6.11403947067949</v>
      </c>
    </row>
    <row r="18" customFormat="false" ht="15" hidden="false" customHeight="true" outlineLevel="0" collapsed="false">
      <c r="B18" s="21" t="s">
        <v>698</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row>
    <row r="19" customFormat="false" ht="15" hidden="false" customHeight="true" outlineLevel="0" collapsed="false">
      <c r="B19" s="4" t="s">
        <v>699</v>
      </c>
      <c r="C19" s="3" t="s">
        <v>297</v>
      </c>
      <c r="E19" s="57" t="n">
        <f aca="false">IF(Inputs!$C$38=2,E17,E16)*E8</f>
        <v>0</v>
      </c>
      <c r="F19" s="57" t="n">
        <f aca="false">IF(Inputs!$C$38=2,F17,F16)*F8</f>
        <v>11.7747712</v>
      </c>
      <c r="G19" s="57" t="n">
        <f aca="false">IF(Inputs!$C$38=2,G17,G16)*G8</f>
        <v>11.7183521152</v>
      </c>
      <c r="H19" s="57" t="n">
        <f aca="false">IF(Inputs!$C$38=2,H17,H16)*H8</f>
        <v>11.6621587067392</v>
      </c>
      <c r="I19" s="57" t="n">
        <f aca="false">IF(Inputs!$C$38=2,I17,I16)*I8</f>
        <v>11.6061900719122</v>
      </c>
      <c r="J19" s="57" t="n">
        <f aca="false">IF(Inputs!$C$38=2,J17,J16)*J8</f>
        <v>11.5504453116246</v>
      </c>
      <c r="K19" s="57" t="n">
        <f aca="false">IF(Inputs!$C$38=2,K17,K16)*K8</f>
        <v>11.4949235303781</v>
      </c>
      <c r="L19" s="57" t="n">
        <f aca="false">IF(Inputs!$C$38=2,L17,L16)*L8</f>
        <v>11.4396238362566</v>
      </c>
      <c r="M19" s="57" t="n">
        <f aca="false">IF(Inputs!$C$38=2,M17,M16)*M8</f>
        <v>11.3845453409116</v>
      </c>
      <c r="N19" s="57" t="n">
        <f aca="false">IF(Inputs!$C$38=2,N17,N16)*N8</f>
        <v>11.3296871595479</v>
      </c>
      <c r="O19" s="57" t="n">
        <f aca="false">IF(Inputs!$C$38=2,O17,O16)*O8</f>
        <v>11.2750484109097</v>
      </c>
      <c r="P19" s="57" t="n">
        <f aca="false">IF(Inputs!$C$38=2,P17,P16)*P8</f>
        <v>0</v>
      </c>
      <c r="Q19" s="57" t="n">
        <f aca="false">IF(Inputs!$C$38=2,Q17,Q16)*Q8</f>
        <v>0</v>
      </c>
      <c r="R19" s="57" t="n">
        <f aca="false">IF(Inputs!$C$38=2,R17,R16)*R8</f>
        <v>0</v>
      </c>
      <c r="S19" s="57" t="n">
        <f aca="false">IF(Inputs!$C$38=2,S17,S16)*S8</f>
        <v>0</v>
      </c>
      <c r="T19" s="57" t="n">
        <f aca="false">IF(Inputs!$C$38=2,T17,T16)*T8</f>
        <v>0</v>
      </c>
      <c r="U19" s="57" t="n">
        <f aca="false">IF(Inputs!$C$38=2,U17,U16)*U8</f>
        <v>0</v>
      </c>
      <c r="V19" s="57" t="n">
        <f aca="false">IF(Inputs!$C$38=2,V17,V16)*V8</f>
        <v>0</v>
      </c>
      <c r="W19" s="57" t="n">
        <f aca="false">IF(Inputs!$C$38=2,W17,W16)*W8</f>
        <v>0</v>
      </c>
      <c r="X19" s="57" t="n">
        <f aca="false">IF(Inputs!$C$38=2,X17,X16)*X8</f>
        <v>0</v>
      </c>
      <c r="Y19" s="57" t="n">
        <f aca="false">IF(Inputs!$C$38=2,Y17,Y16)*Y8</f>
        <v>0</v>
      </c>
      <c r="Z19" s="57" t="n">
        <f aca="false">IF(Inputs!$C$38=2,Z17,Z16)*Z8</f>
        <v>0</v>
      </c>
      <c r="AA19" s="57" t="n">
        <f aca="false">IF(Inputs!$C$38=2,AA17,AA16)*AA8</f>
        <v>0</v>
      </c>
      <c r="AB19" s="57" t="n">
        <f aca="false">IF(Inputs!$C$38=2,AB17,AB16)*AB8</f>
        <v>0</v>
      </c>
      <c r="AC19" s="57" t="n">
        <f aca="false">IF(Inputs!$C$38=2,AC17,AC16)*AC8</f>
        <v>0</v>
      </c>
      <c r="AD19" s="57" t="n">
        <f aca="false">IF(Inputs!$C$38=2,AD17,AD16)*AD8</f>
        <v>0</v>
      </c>
    </row>
    <row r="20" customFormat="false" ht="15" hidden="false" customHeight="true" outlineLevel="0" collapsed="false">
      <c r="B20" s="4" t="s">
        <v>700</v>
      </c>
      <c r="C20" s="3"/>
      <c r="E20" s="64" t="n">
        <f aca="false">IF(E8=1,1/(1+Inputs!$C$51)^E5,0)</f>
        <v>0</v>
      </c>
      <c r="F20" s="64" t="n">
        <f aca="false">IF(F8=1,1/(1+Inputs!$C$51)^F5,0)</f>
        <v>0.904977375565611</v>
      </c>
      <c r="G20" s="64" t="n">
        <f aca="false">IF(G8=1,1/(1+Inputs!$C$51)^G5,0)</f>
        <v>0.818984050285621</v>
      </c>
      <c r="H20" s="64" t="n">
        <f aca="false">IF(H8=1,1/(1+Inputs!$C$51)^H5,0)</f>
        <v>0.741162036457575</v>
      </c>
      <c r="I20" s="64" t="n">
        <f aca="false">IF(I8=1,1/(1+Inputs!$C$51)^I5,0)</f>
        <v>0.67073487462224</v>
      </c>
      <c r="J20" s="64" t="n">
        <f aca="false">IF(J8=1,1/(1+Inputs!$C$51)^J5,0)</f>
        <v>0.606999886535964</v>
      </c>
      <c r="K20" s="64" t="n">
        <f aca="false">IF(K8=1,1/(1+Inputs!$C$51)^K5,0)</f>
        <v>0.54932116428594</v>
      </c>
      <c r="L20" s="64" t="n">
        <f aca="false">IF(L8=1,1/(1+Inputs!$C$51)^L5,0)</f>
        <v>0.497123225598136</v>
      </c>
      <c r="M20" s="64" t="n">
        <f aca="false">IF(M8=1,1/(1+Inputs!$C$51)^M5,0)</f>
        <v>0.449885272034512</v>
      </c>
      <c r="N20" s="64" t="n">
        <f aca="false">IF(N8=1,1/(1+Inputs!$C$51)^N5,0)</f>
        <v>0.407135992791414</v>
      </c>
      <c r="O20" s="64" t="n">
        <f aca="false">IF(O8=1,1/(1+Inputs!$C$51)^O5,0)</f>
        <v>0.368448862254673</v>
      </c>
      <c r="P20" s="64" t="n">
        <f aca="false">IF(P8=1,1/(1+Inputs!$C$51)^P5,0)</f>
        <v>0</v>
      </c>
      <c r="Q20" s="64" t="n">
        <f aca="false">IF(Q8=1,1/(1+Inputs!$C$51)^Q5,0)</f>
        <v>0</v>
      </c>
      <c r="R20" s="64" t="n">
        <f aca="false">IF(R8=1,1/(1+Inputs!$C$51)^R5,0)</f>
        <v>0</v>
      </c>
      <c r="S20" s="64" t="n">
        <f aca="false">IF(S8=1,1/(1+Inputs!$C$51)^S5,0)</f>
        <v>0</v>
      </c>
      <c r="T20" s="64" t="n">
        <f aca="false">IF(T8=1,1/(1+Inputs!$C$51)^T5,0)</f>
        <v>0</v>
      </c>
      <c r="U20" s="64" t="n">
        <f aca="false">IF(U8=1,1/(1+Inputs!$C$51)^U5,0)</f>
        <v>0</v>
      </c>
      <c r="V20" s="64" t="n">
        <f aca="false">IF(V8=1,1/(1+Inputs!$C$51)^V5,0)</f>
        <v>0</v>
      </c>
      <c r="W20" s="64" t="n">
        <f aca="false">IF(W8=1,1/(1+Inputs!$C$51)^W5,0)</f>
        <v>0</v>
      </c>
      <c r="X20" s="64" t="n">
        <f aca="false">IF(X8=1,1/(1+Inputs!$C$51)^X5,0)</f>
        <v>0</v>
      </c>
      <c r="Y20" s="64" t="n">
        <f aca="false">IF(Y8=1,1/(1+Inputs!$C$51)^Y5,0)</f>
        <v>0</v>
      </c>
      <c r="Z20" s="64" t="n">
        <f aca="false">IF(Z8=1,1/(1+Inputs!$C$51)^Z5,0)</f>
        <v>0</v>
      </c>
      <c r="AA20" s="64" t="n">
        <f aca="false">IF(AA8=1,1/(1+Inputs!$C$51)^AA5,0)</f>
        <v>0</v>
      </c>
      <c r="AB20" s="64" t="n">
        <f aca="false">IF(AB8=1,1/(1+Inputs!$C$51)^AB5,0)</f>
        <v>0</v>
      </c>
      <c r="AC20" s="64" t="n">
        <f aca="false">IF(AC8=1,1/(1+Inputs!$C$51)^AC5,0)</f>
        <v>0</v>
      </c>
      <c r="AD20" s="64" t="n">
        <f aca="false">IF(AD8=1,1/(1+Inputs!$C$51)^AD5,0)</f>
        <v>0</v>
      </c>
    </row>
    <row r="21" customFormat="false" ht="15" hidden="false" customHeight="true" outlineLevel="0" collapsed="false">
      <c r="B21" s="4" t="s">
        <v>701</v>
      </c>
      <c r="C21" s="3" t="s">
        <v>297</v>
      </c>
      <c r="D21" s="59" t="n">
        <f aca="false">SUM(E21:AD21)</f>
        <v>57.9218948100417</v>
      </c>
      <c r="E21" s="57" t="n">
        <f aca="false">E16*E8/Inputs!$C$29*E20</f>
        <v>0</v>
      </c>
      <c r="F21" s="57" t="n">
        <f aca="false">F16*F8/Inputs!$C$29*F20</f>
        <v>8.86822137138879</v>
      </c>
      <c r="G21" s="57" t="n">
        <f aca="false">G16*G8/Inputs!$C$29*G20</f>
        <v>7.98756605815102</v>
      </c>
      <c r="H21" s="57" t="n">
        <f aca="false">H16*H8/Inputs!$C$29*H20</f>
        <v>7.19433874051185</v>
      </c>
      <c r="I21" s="57" t="n">
        <f aca="false">I16*I8/Inputs!$C$29*I20</f>
        <v>6.47986228404801</v>
      </c>
      <c r="J21" s="57" t="n">
        <f aca="false">J16*J8/Inputs!$C$29*J20</f>
        <v>5.8363205265255</v>
      </c>
      <c r="K21" s="57" t="n">
        <f aca="false">K16*K8/Inputs!$C$29*K20</f>
        <v>5.25667287072934</v>
      </c>
      <c r="L21" s="57" t="n">
        <f aca="false">L16*L8/Inputs!$C$29*L20</f>
        <v>4.73457734755949</v>
      </c>
      <c r="M21" s="57" t="n">
        <f aca="false">M16*M8/Inputs!$C$29*M20</f>
        <v>4.26432130954226</v>
      </c>
      <c r="N21" s="57" t="n">
        <f aca="false">N16*N8/Inputs!$C$29*N20</f>
        <v>3.84075899816217</v>
      </c>
      <c r="O21" s="57" t="n">
        <f aca="false">O16*O8/Inputs!$C$29*O20</f>
        <v>3.45925530342329</v>
      </c>
      <c r="P21" s="57" t="n">
        <f aca="false">P16*P8/Inputs!$C$29*P20</f>
        <v>0</v>
      </c>
      <c r="Q21" s="57" t="n">
        <f aca="false">Q16*Q8/Inputs!$C$29*Q20</f>
        <v>0</v>
      </c>
      <c r="R21" s="57" t="n">
        <f aca="false">R16*R8/Inputs!$C$29*R20</f>
        <v>0</v>
      </c>
      <c r="S21" s="57" t="n">
        <f aca="false">S16*S8/Inputs!$C$29*S20</f>
        <v>0</v>
      </c>
      <c r="T21" s="57" t="n">
        <f aca="false">T16*T8/Inputs!$C$29*T20</f>
        <v>0</v>
      </c>
      <c r="U21" s="57" t="n">
        <f aca="false">U16*U8/Inputs!$C$29*U20</f>
        <v>0</v>
      </c>
      <c r="V21" s="57" t="n">
        <f aca="false">V16*V8/Inputs!$C$29*V20</f>
        <v>0</v>
      </c>
      <c r="W21" s="57" t="n">
        <f aca="false">W16*W8/Inputs!$C$29*W20</f>
        <v>0</v>
      </c>
      <c r="X21" s="57" t="n">
        <f aca="false">X16*X8/Inputs!$C$29*X20</f>
        <v>0</v>
      </c>
      <c r="Y21" s="57" t="n">
        <f aca="false">Y16*Y8/Inputs!$C$29*Y20</f>
        <v>0</v>
      </c>
      <c r="Z21" s="57" t="n">
        <f aca="false">Z16*Z8/Inputs!$C$29*Z20</f>
        <v>0</v>
      </c>
      <c r="AA21" s="57" t="n">
        <f aca="false">AA16*AA8/Inputs!$C$29*AA20</f>
        <v>0</v>
      </c>
      <c r="AB21" s="57" t="n">
        <f aca="false">AB16*AB8/Inputs!$C$29*AB20</f>
        <v>0</v>
      </c>
      <c r="AC21" s="57" t="n">
        <f aca="false">AC16*AC8/Inputs!$C$29*AC20</f>
        <v>0</v>
      </c>
      <c r="AD21" s="57" t="n">
        <f aca="false">AD16*AD8/Inputs!$C$29*AD20</f>
        <v>0</v>
      </c>
    </row>
    <row r="22" customFormat="false" ht="15" hidden="false" customHeight="true" outlineLevel="0" collapsed="false">
      <c r="B22" s="4" t="s">
        <v>702</v>
      </c>
      <c r="C22" s="3" t="s">
        <v>297</v>
      </c>
      <c r="D22" s="59" t="n">
        <f aca="false">SUM(E22:AD22)</f>
        <v>53.5249528413889</v>
      </c>
      <c r="E22" s="57" t="n">
        <f aca="false">E17*E8/Inputs!$C$29*E20</f>
        <v>0</v>
      </c>
      <c r="F22" s="57" t="n">
        <f aca="false">F17*F8/Inputs!$C$29*F20</f>
        <v>8.1968473372781</v>
      </c>
      <c r="G22" s="57" t="n">
        <f aca="false">G17*G8/Inputs!$C$29*G20</f>
        <v>7.38241805998428</v>
      </c>
      <c r="H22" s="57" t="n">
        <f aca="false">H17*H8/Inputs!$C$29*H20</f>
        <v>6.64888407429097</v>
      </c>
      <c r="I22" s="57" t="n">
        <f aca="false">I17*I8/Inputs!$C$29*I20</f>
        <v>5.98821264825073</v>
      </c>
      <c r="J22" s="57" t="n">
        <f aca="false">J17*J8/Inputs!$C$29*J20</f>
        <v>5.39316845661229</v>
      </c>
      <c r="K22" s="57" t="n">
        <f aca="false">K17*K8/Inputs!$C$29*K20</f>
        <v>4.85723444391165</v>
      </c>
      <c r="L22" s="57" t="n">
        <f aca="false">L17*L8/Inputs!$C$29*L20</f>
        <v>4.37454053931477</v>
      </c>
      <c r="M22" s="57" t="n">
        <f aca="false">M17*M8/Inputs!$C$29*M20</f>
        <v>3.93979944437326</v>
      </c>
      <c r="N22" s="57" t="n">
        <f aca="false">N17*N8/Inputs!$C$29*N20</f>
        <v>3.54824879209129</v>
      </c>
      <c r="O22" s="57" t="n">
        <f aca="false">O17*O8/Inputs!$C$29*O20</f>
        <v>3.19559904528157</v>
      </c>
      <c r="P22" s="57" t="n">
        <f aca="false">P17*P8/Inputs!$C$29*P20</f>
        <v>0</v>
      </c>
      <c r="Q22" s="57" t="n">
        <f aca="false">Q17*Q8/Inputs!$C$29*Q20</f>
        <v>0</v>
      </c>
      <c r="R22" s="57" t="n">
        <f aca="false">R17*R8/Inputs!$C$29*R20</f>
        <v>0</v>
      </c>
      <c r="S22" s="57" t="n">
        <f aca="false">S17*S8/Inputs!$C$29*S20</f>
        <v>0</v>
      </c>
      <c r="T22" s="57" t="n">
        <f aca="false">T17*T8/Inputs!$C$29*T20</f>
        <v>0</v>
      </c>
      <c r="U22" s="57" t="n">
        <f aca="false">U17*U8/Inputs!$C$29*U20</f>
        <v>0</v>
      </c>
      <c r="V22" s="57" t="n">
        <f aca="false">V17*V8/Inputs!$C$29*V20</f>
        <v>0</v>
      </c>
      <c r="W22" s="57" t="n">
        <f aca="false">W17*W8/Inputs!$C$29*W20</f>
        <v>0</v>
      </c>
      <c r="X22" s="57" t="n">
        <f aca="false">X17*X8/Inputs!$C$29*X20</f>
        <v>0</v>
      </c>
      <c r="Y22" s="57" t="n">
        <f aca="false">Y17*Y8/Inputs!$C$29*Y20</f>
        <v>0</v>
      </c>
      <c r="Z22" s="57" t="n">
        <f aca="false">Z17*Z8/Inputs!$C$29*Z20</f>
        <v>0</v>
      </c>
      <c r="AA22" s="57" t="n">
        <f aca="false">AA17*AA8/Inputs!$C$29*AA20</f>
        <v>0</v>
      </c>
      <c r="AB22" s="57" t="n">
        <f aca="false">AB17*AB8/Inputs!$C$29*AB20</f>
        <v>0</v>
      </c>
      <c r="AC22" s="57" t="n">
        <f aca="false">AC17*AC8/Inputs!$C$29*AC20</f>
        <v>0</v>
      </c>
      <c r="AD22" s="57" t="n">
        <f aca="false">AD17*AD8/Inputs!$C$29*AD20</f>
        <v>0</v>
      </c>
    </row>
    <row r="23" customFormat="false" ht="15" hidden="false" customHeight="true" outlineLevel="0" collapsed="false">
      <c r="B23" s="4" t="s">
        <v>703</v>
      </c>
      <c r="C23" s="3" t="s">
        <v>297</v>
      </c>
      <c r="D23" s="59" t="n">
        <f aca="false">SUM(E23:AD23)</f>
        <v>88.6428812949845</v>
      </c>
      <c r="E23" s="57" t="n">
        <f aca="false">IF('Sources &amp; Uses'!$C$18&gt;0,E19/Inputs!$C$29*'Sources &amp; Uses'!$C$19/'Sources &amp; Uses'!$C$18,0)</f>
        <v>0</v>
      </c>
      <c r="F23" s="57" t="n">
        <f aca="false">IF('Sources &amp; Uses'!$C$18&gt;0,F19/Inputs!$C$29*'Sources &amp; Uses'!$C$19/'Sources &amp; Uses'!$C$18,0)</f>
        <v>9.05751630769231</v>
      </c>
      <c r="G23" s="57" t="n">
        <f aca="false">IF('Sources &amp; Uses'!$C$18&gt;0,G19/Inputs!$C$29*'Sources &amp; Uses'!$C$19/'Sources &amp; Uses'!$C$18,0)</f>
        <v>9.01411701169231</v>
      </c>
      <c r="H23" s="57" t="n">
        <f aca="false">IF('Sources &amp; Uses'!$C$18&gt;0,H19/Inputs!$C$29*'Sources &amp; Uses'!$C$19/'Sources &amp; Uses'!$C$18,0)</f>
        <v>8.97089131287631</v>
      </c>
      <c r="I23" s="57" t="n">
        <f aca="false">IF('Sources &amp; Uses'!$C$18&gt;0,I19/Inputs!$C$29*'Sources &amp; Uses'!$C$19/'Sources &amp; Uses'!$C$18,0)</f>
        <v>8.92783851685557</v>
      </c>
      <c r="J23" s="57" t="n">
        <f aca="false">IF('Sources &amp; Uses'!$C$18&gt;0,J19/Inputs!$C$29*'Sources &amp; Uses'!$C$19/'Sources &amp; Uses'!$C$18,0)</f>
        <v>8.88495793201892</v>
      </c>
      <c r="K23" s="57" t="n">
        <f aca="false">IF('Sources &amp; Uses'!$C$18&gt;0,K19/Inputs!$C$29*'Sources &amp; Uses'!$C$19/'Sources &amp; Uses'!$C$18,0)</f>
        <v>8.84224886952161</v>
      </c>
      <c r="L23" s="57" t="n">
        <f aca="false">IF('Sources &amp; Uses'!$C$18&gt;0,L19/Inputs!$C$29*'Sources &amp; Uses'!$C$19/'Sources &amp; Uses'!$C$18,0)</f>
        <v>8.7997106432743</v>
      </c>
      <c r="M23" s="57" t="n">
        <f aca="false">IF('Sources &amp; Uses'!$C$18&gt;0,M19/Inputs!$C$29*'Sources &amp; Uses'!$C$19/'Sources &amp; Uses'!$C$18,0)</f>
        <v>8.75734256993196</v>
      </c>
      <c r="N23" s="57" t="n">
        <f aca="false">IF('Sources &amp; Uses'!$C$18&gt;0,N19/Inputs!$C$29*'Sources &amp; Uses'!$C$19/'Sources &amp; Uses'!$C$18,0)</f>
        <v>8.71514396888301</v>
      </c>
      <c r="O23" s="57" t="n">
        <f aca="false">IF('Sources &amp; Uses'!$C$18&gt;0,O19/Inputs!$C$29*'Sources &amp; Uses'!$C$19/'Sources &amp; Uses'!$C$18,0)</f>
        <v>8.67311416223824</v>
      </c>
      <c r="P23" s="57" t="n">
        <f aca="false">IF('Sources &amp; Uses'!$C$18&gt;0,P19/Inputs!$C$29*'Sources &amp; Uses'!$C$19/'Sources &amp; Uses'!$C$18,0)</f>
        <v>0</v>
      </c>
      <c r="Q23" s="57" t="n">
        <f aca="false">IF('Sources &amp; Uses'!$C$18&gt;0,Q19/Inputs!$C$29*'Sources &amp; Uses'!$C$19/'Sources &amp; Uses'!$C$18,0)</f>
        <v>0</v>
      </c>
      <c r="R23" s="57" t="n">
        <f aca="false">IF('Sources &amp; Uses'!$C$18&gt;0,R19/Inputs!$C$29*'Sources &amp; Uses'!$C$19/'Sources &amp; Uses'!$C$18,0)</f>
        <v>0</v>
      </c>
      <c r="S23" s="57" t="n">
        <f aca="false">IF('Sources &amp; Uses'!$C$18&gt;0,S19/Inputs!$C$29*'Sources &amp; Uses'!$C$19/'Sources &amp; Uses'!$C$18,0)</f>
        <v>0</v>
      </c>
      <c r="T23" s="57" t="n">
        <f aca="false">IF('Sources &amp; Uses'!$C$18&gt;0,T19/Inputs!$C$29*'Sources &amp; Uses'!$C$19/'Sources &amp; Uses'!$C$18,0)</f>
        <v>0</v>
      </c>
      <c r="U23" s="57" t="n">
        <f aca="false">IF('Sources &amp; Uses'!$C$18&gt;0,U19/Inputs!$C$29*'Sources &amp; Uses'!$C$19/'Sources &amp; Uses'!$C$18,0)</f>
        <v>0</v>
      </c>
      <c r="V23" s="57" t="n">
        <f aca="false">IF('Sources &amp; Uses'!$C$18&gt;0,V19/Inputs!$C$29*'Sources &amp; Uses'!$C$19/'Sources &amp; Uses'!$C$18,0)</f>
        <v>0</v>
      </c>
      <c r="W23" s="57" t="n">
        <f aca="false">IF('Sources &amp; Uses'!$C$18&gt;0,W19/Inputs!$C$29*'Sources &amp; Uses'!$C$19/'Sources &amp; Uses'!$C$18,0)</f>
        <v>0</v>
      </c>
      <c r="X23" s="57" t="n">
        <f aca="false">IF('Sources &amp; Uses'!$C$18&gt;0,X19/Inputs!$C$29*'Sources &amp; Uses'!$C$19/'Sources &amp; Uses'!$C$18,0)</f>
        <v>0</v>
      </c>
      <c r="Y23" s="57" t="n">
        <f aca="false">IF('Sources &amp; Uses'!$C$18&gt;0,Y19/Inputs!$C$29*'Sources &amp; Uses'!$C$19/'Sources &amp; Uses'!$C$18,0)</f>
        <v>0</v>
      </c>
      <c r="Z23" s="57" t="n">
        <f aca="false">IF('Sources &amp; Uses'!$C$18&gt;0,Z19/Inputs!$C$29*'Sources &amp; Uses'!$C$19/'Sources &amp; Uses'!$C$18,0)</f>
        <v>0</v>
      </c>
      <c r="AA23" s="57" t="n">
        <f aca="false">IF('Sources &amp; Uses'!$C$18&gt;0,AA19/Inputs!$C$29*'Sources &amp; Uses'!$C$19/'Sources &amp; Uses'!$C$18,0)</f>
        <v>0</v>
      </c>
      <c r="AB23" s="57" t="n">
        <f aca="false">IF('Sources &amp; Uses'!$C$18&gt;0,AB19/Inputs!$C$29*'Sources &amp; Uses'!$C$19/'Sources &amp; Uses'!$C$18,0)</f>
        <v>0</v>
      </c>
      <c r="AC23" s="57" t="n">
        <f aca="false">IF('Sources &amp; Uses'!$C$18&gt;0,AC19/Inputs!$C$29*'Sources &amp; Uses'!$C$19/'Sources &amp; Uses'!$C$18,0)</f>
        <v>0</v>
      </c>
      <c r="AD23" s="57" t="n">
        <f aca="false">IF('Sources &amp; Uses'!$C$18&gt;0,AD19/Inputs!$C$29*'Sources &amp; Uses'!$C$19/'Sources &amp; Uses'!$C$18,0)</f>
        <v>0</v>
      </c>
    </row>
    <row r="24" customFormat="false" ht="15" hidden="false" customHeight="true" outlineLevel="0" collapsed="false">
      <c r="B24" s="21" t="s">
        <v>92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row>
    <row r="25" customFormat="false" ht="15" hidden="false" customHeight="true" outlineLevel="0" collapsed="false">
      <c r="B25" s="4" t="s">
        <v>704</v>
      </c>
      <c r="C25" s="3" t="s">
        <v>297</v>
      </c>
      <c r="E25" s="57" t="n">
        <v>0</v>
      </c>
      <c r="F25" s="57" t="n">
        <f aca="false">E29</f>
        <v>53.5249528413889</v>
      </c>
      <c r="G25" s="57" t="n">
        <f aca="false">F29</f>
        <v>50.0875565820424</v>
      </c>
      <c r="H25" s="57" t="n">
        <f aca="false">G29</f>
        <v>46.3326330114646</v>
      </c>
      <c r="I25" s="57" t="n">
        <f aca="false">H29</f>
        <v>42.2266681647921</v>
      </c>
      <c r="J25" s="57" t="n">
        <f aca="false">I29</f>
        <v>37.7326298052397</v>
      </c>
      <c r="K25" s="57" t="n">
        <f aca="false">J29</f>
        <v>32.8095980027709</v>
      </c>
      <c r="L25" s="57" t="n">
        <f aca="false">K29</f>
        <v>27.4123569235403</v>
      </c>
      <c r="M25" s="57" t="n">
        <f aca="false">L29</f>
        <v>21.4909437572377</v>
      </c>
      <c r="N25" s="57" t="n">
        <f aca="false">M29</f>
        <v>14.9901502818157</v>
      </c>
      <c r="O25" s="57" t="n">
        <f aca="false">N29</f>
        <v>7.84897209252332</v>
      </c>
      <c r="P25" s="57" t="n">
        <f aca="false">O29</f>
        <v>0</v>
      </c>
      <c r="Q25" s="57" t="n">
        <f aca="false">P29</f>
        <v>0</v>
      </c>
      <c r="R25" s="57" t="n">
        <f aca="false">Q29</f>
        <v>0</v>
      </c>
      <c r="S25" s="57" t="n">
        <f aca="false">R29</f>
        <v>0</v>
      </c>
      <c r="T25" s="57" t="n">
        <f aca="false">S29</f>
        <v>0</v>
      </c>
      <c r="U25" s="57" t="n">
        <f aca="false">T29</f>
        <v>0</v>
      </c>
      <c r="V25" s="57" t="n">
        <f aca="false">U29</f>
        <v>0</v>
      </c>
      <c r="W25" s="57" t="n">
        <f aca="false">V29</f>
        <v>0</v>
      </c>
      <c r="X25" s="57" t="n">
        <f aca="false">W29</f>
        <v>0</v>
      </c>
      <c r="Y25" s="57" t="n">
        <f aca="false">X29</f>
        <v>0</v>
      </c>
      <c r="Z25" s="57" t="n">
        <f aca="false">Y29</f>
        <v>0</v>
      </c>
      <c r="AA25" s="57" t="n">
        <f aca="false">Z29</f>
        <v>0</v>
      </c>
      <c r="AB25" s="57" t="n">
        <f aca="false">AA29</f>
        <v>0</v>
      </c>
      <c r="AC25" s="57" t="n">
        <f aca="false">AB29</f>
        <v>0</v>
      </c>
      <c r="AD25" s="57" t="n">
        <f aca="false">AC29</f>
        <v>0</v>
      </c>
    </row>
    <row r="26" customFormat="false" ht="15" hidden="false" customHeight="true" outlineLevel="0" collapsed="false">
      <c r="B26" s="4" t="s">
        <v>705</v>
      </c>
      <c r="C26" s="3" t="s">
        <v>297</v>
      </c>
      <c r="D26" s="59" t="n">
        <f aca="false">SUM(E26:AD26)</f>
        <v>53.5249528413889</v>
      </c>
      <c r="E26" s="57" t="n">
        <f aca="false">'Sources &amp; Uses'!$C$19</f>
        <v>53.5249528413889</v>
      </c>
      <c r="F26" s="57" t="n">
        <v>0</v>
      </c>
      <c r="G26" s="57" t="n">
        <v>0</v>
      </c>
      <c r="H26" s="57" t="n">
        <v>0</v>
      </c>
      <c r="I26" s="57" t="n">
        <v>0</v>
      </c>
      <c r="J26" s="57" t="n">
        <v>0</v>
      </c>
      <c r="K26" s="57" t="n">
        <v>0</v>
      </c>
      <c r="L26" s="57" t="n">
        <v>0</v>
      </c>
      <c r="M26" s="57" t="n">
        <v>0</v>
      </c>
      <c r="N26" s="57" t="n">
        <v>0</v>
      </c>
      <c r="O26" s="57" t="n">
        <v>0</v>
      </c>
      <c r="P26" s="57" t="n">
        <v>0</v>
      </c>
      <c r="Q26" s="57" t="n">
        <v>0</v>
      </c>
      <c r="R26" s="57" t="n">
        <v>0</v>
      </c>
      <c r="S26" s="57" t="n">
        <v>0</v>
      </c>
      <c r="T26" s="57" t="n">
        <v>0</v>
      </c>
      <c r="U26" s="57" t="n">
        <v>0</v>
      </c>
      <c r="V26" s="57" t="n">
        <v>0</v>
      </c>
      <c r="W26" s="57" t="n">
        <v>0</v>
      </c>
      <c r="X26" s="57" t="n">
        <v>0</v>
      </c>
      <c r="Y26" s="57" t="n">
        <v>0</v>
      </c>
      <c r="Z26" s="57" t="n">
        <v>0</v>
      </c>
      <c r="AA26" s="57" t="n">
        <v>0</v>
      </c>
      <c r="AB26" s="57" t="n">
        <v>0</v>
      </c>
      <c r="AC26" s="57" t="n">
        <v>0</v>
      </c>
      <c r="AD26" s="57" t="n">
        <v>0</v>
      </c>
    </row>
    <row r="27" customFormat="false" ht="15" hidden="false" customHeight="true" outlineLevel="0" collapsed="false">
      <c r="B27" s="4" t="s">
        <v>706</v>
      </c>
      <c r="C27" s="3" t="s">
        <v>297</v>
      </c>
      <c r="D27" s="59" t="n">
        <f aca="false">SUM(E27:AD27)</f>
        <v>37.4596451404064</v>
      </c>
      <c r="E27" s="57" t="n">
        <f aca="false">'Sources &amp; Uses'!$C$19*Inputs!$C$51*Inputs!$C$9/12</f>
        <v>2.34171668681077</v>
      </c>
      <c r="F27" s="57" t="n">
        <f aca="false">F25*Inputs!$C$51</f>
        <v>5.62012004834584</v>
      </c>
      <c r="G27" s="57" t="n">
        <f aca="false">G25*Inputs!$C$51</f>
        <v>5.25919344111446</v>
      </c>
      <c r="H27" s="57" t="n">
        <f aca="false">H25*Inputs!$C$51</f>
        <v>4.86492646620378</v>
      </c>
      <c r="I27" s="57" t="n">
        <f aca="false">I25*Inputs!$C$51</f>
        <v>4.43380015730317</v>
      </c>
      <c r="J27" s="57" t="n">
        <f aca="false">J25*Inputs!$C$51</f>
        <v>3.96192612955017</v>
      </c>
      <c r="K27" s="57" t="n">
        <f aca="false">K25*Inputs!$C$51</f>
        <v>3.44500779029095</v>
      </c>
      <c r="L27" s="57" t="n">
        <f aca="false">L25*Inputs!$C$51</f>
        <v>2.87829747697173</v>
      </c>
      <c r="M27" s="57" t="n">
        <f aca="false">M25*Inputs!$C$51</f>
        <v>2.25654909450996</v>
      </c>
      <c r="N27" s="57" t="n">
        <f aca="false">N25*Inputs!$C$51</f>
        <v>1.57396577959065</v>
      </c>
      <c r="O27" s="57" t="n">
        <f aca="false">O25*Inputs!$C$51</f>
        <v>0.824142069714948</v>
      </c>
      <c r="P27" s="57" t="n">
        <f aca="false">P25*Inputs!$C$51</f>
        <v>0</v>
      </c>
      <c r="Q27" s="57" t="n">
        <f aca="false">Q25*Inputs!$C$51</f>
        <v>0</v>
      </c>
      <c r="R27" s="57" t="n">
        <f aca="false">R25*Inputs!$C$51</f>
        <v>0</v>
      </c>
      <c r="S27" s="57" t="n">
        <f aca="false">S25*Inputs!$C$51</f>
        <v>0</v>
      </c>
      <c r="T27" s="57" t="n">
        <f aca="false">T25*Inputs!$C$51</f>
        <v>0</v>
      </c>
      <c r="U27" s="57" t="n">
        <f aca="false">U25*Inputs!$C$51</f>
        <v>0</v>
      </c>
      <c r="V27" s="57" t="n">
        <f aca="false">V25*Inputs!$C$51</f>
        <v>0</v>
      </c>
      <c r="W27" s="57" t="n">
        <f aca="false">W25*Inputs!$C$51</f>
        <v>0</v>
      </c>
      <c r="X27" s="57" t="n">
        <f aca="false">X25*Inputs!$C$51</f>
        <v>0</v>
      </c>
      <c r="Y27" s="57" t="n">
        <f aca="false">Y25*Inputs!$C$51</f>
        <v>0</v>
      </c>
      <c r="Z27" s="57" t="n">
        <f aca="false">Z25*Inputs!$C$51</f>
        <v>0</v>
      </c>
      <c r="AA27" s="57" t="n">
        <f aca="false">AA25*Inputs!$C$51</f>
        <v>0</v>
      </c>
      <c r="AB27" s="57" t="n">
        <f aca="false">AB25*Inputs!$C$51</f>
        <v>0</v>
      </c>
      <c r="AC27" s="57" t="n">
        <f aca="false">AC25*Inputs!$C$51</f>
        <v>0</v>
      </c>
      <c r="AD27" s="57" t="n">
        <f aca="false">AD25*Inputs!$C$51</f>
        <v>0</v>
      </c>
    </row>
    <row r="28" customFormat="false" ht="15" hidden="false" customHeight="true" outlineLevel="0" collapsed="false">
      <c r="B28" s="4" t="s">
        <v>707</v>
      </c>
      <c r="C28" s="3" t="s">
        <v>297</v>
      </c>
      <c r="D28" s="59" t="n">
        <f aca="false">SUM(E28:AD28)</f>
        <v>53.5249528413889</v>
      </c>
      <c r="E28" s="57" t="n">
        <f aca="false">IF(E5=Inputs!$C$31,E25,MIN(E25,MAX(0,E23-E27))*E8)</f>
        <v>0</v>
      </c>
      <c r="F28" s="57" t="n">
        <f aca="false">IF(F5=Inputs!$C$31,F25,MIN(F25,MAX(0,F23-F27))*F8)</f>
        <v>3.43739625934647</v>
      </c>
      <c r="G28" s="57" t="n">
        <f aca="false">IF(G5=Inputs!$C$31,G25,MIN(G25,MAX(0,G23-G27))*G8)</f>
        <v>3.75492357057785</v>
      </c>
      <c r="H28" s="57" t="n">
        <f aca="false">IF(H5=Inputs!$C$31,H25,MIN(H25,MAX(0,H23-H27))*H8)</f>
        <v>4.10596484667252</v>
      </c>
      <c r="I28" s="57" t="n">
        <f aca="false">IF(I5=Inputs!$C$31,I25,MIN(I25,MAX(0,I23-I27))*I8)</f>
        <v>4.4940383595524</v>
      </c>
      <c r="J28" s="57" t="n">
        <f aca="false">IF(J5=Inputs!$C$31,J25,MIN(J25,MAX(0,J23-J27))*J8)</f>
        <v>4.92303180246875</v>
      </c>
      <c r="K28" s="57" t="n">
        <f aca="false">IF(K5=Inputs!$C$31,K25,MIN(K25,MAX(0,K23-K27))*K8)</f>
        <v>5.39724107923066</v>
      </c>
      <c r="L28" s="57" t="n">
        <f aca="false">IF(L5=Inputs!$C$31,L25,MIN(L25,MAX(0,L23-L27))*L8)</f>
        <v>5.92141316630257</v>
      </c>
      <c r="M28" s="57" t="n">
        <f aca="false">IF(M5=Inputs!$C$31,M25,MIN(M25,MAX(0,M23-M27))*M8)</f>
        <v>6.50079347542201</v>
      </c>
      <c r="N28" s="57" t="n">
        <f aca="false">IF(N5=Inputs!$C$31,N25,MIN(N25,MAX(0,N23-N27))*N8)</f>
        <v>7.14117818929236</v>
      </c>
      <c r="O28" s="57" t="n">
        <f aca="false">IF(O5=Inputs!$C$31,O25,MIN(O25,MAX(0,O23-O27))*O8)</f>
        <v>7.84897209252332</v>
      </c>
      <c r="P28" s="57" t="n">
        <f aca="false">IF(P5=Inputs!$C$31,P25,MIN(P25,MAX(0,P23-P27))*P8)</f>
        <v>0</v>
      </c>
      <c r="Q28" s="57" t="n">
        <f aca="false">IF(Q5=Inputs!$C$31,Q25,MIN(Q25,MAX(0,Q23-Q27))*Q8)</f>
        <v>0</v>
      </c>
      <c r="R28" s="57" t="n">
        <f aca="false">IF(R5=Inputs!$C$31,R25,MIN(R25,MAX(0,R23-R27))*R8)</f>
        <v>0</v>
      </c>
      <c r="S28" s="57" t="n">
        <f aca="false">IF(S5=Inputs!$C$31,S25,MIN(S25,MAX(0,S23-S27))*S8)</f>
        <v>0</v>
      </c>
      <c r="T28" s="57" t="n">
        <f aca="false">IF(T5=Inputs!$C$31,T25,MIN(T25,MAX(0,T23-T27))*T8)</f>
        <v>0</v>
      </c>
      <c r="U28" s="57" t="n">
        <f aca="false">IF(U5=Inputs!$C$31,U25,MIN(U25,MAX(0,U23-U27))*U8)</f>
        <v>0</v>
      </c>
      <c r="V28" s="57" t="n">
        <f aca="false">IF(V5=Inputs!$C$31,V25,MIN(V25,MAX(0,V23-V27))*V8)</f>
        <v>0</v>
      </c>
      <c r="W28" s="57" t="n">
        <f aca="false">IF(W5=Inputs!$C$31,W25,MIN(W25,MAX(0,W23-W27))*W8)</f>
        <v>0</v>
      </c>
      <c r="X28" s="57" t="n">
        <f aca="false">IF(X5=Inputs!$C$31,X25,MIN(X25,MAX(0,X23-X27))*X8)</f>
        <v>0</v>
      </c>
      <c r="Y28" s="57" t="n">
        <f aca="false">IF(Y5=Inputs!$C$31,Y25,MIN(Y25,MAX(0,Y23-Y27))*Y8)</f>
        <v>0</v>
      </c>
      <c r="Z28" s="57" t="n">
        <f aca="false">IF(Z5=Inputs!$C$31,Z25,MIN(Z25,MAX(0,Z23-Z27))*Z8)</f>
        <v>0</v>
      </c>
      <c r="AA28" s="57" t="n">
        <f aca="false">IF(AA5=Inputs!$C$31,AA25,MIN(AA25,MAX(0,AA23-AA27))*AA8)</f>
        <v>0</v>
      </c>
      <c r="AB28" s="57" t="n">
        <f aca="false">IF(AB5=Inputs!$C$31,AB25,MIN(AB25,MAX(0,AB23-AB27))*AB8)</f>
        <v>0</v>
      </c>
      <c r="AC28" s="57" t="n">
        <f aca="false">IF(AC5=Inputs!$C$31,AC25,MIN(AC25,MAX(0,AC23-AC27))*AC8)</f>
        <v>0</v>
      </c>
      <c r="AD28" s="57" t="n">
        <f aca="false">IF(AD5=Inputs!$C$31,AD25,MIN(AD25,MAX(0,AD23-AD27))*AD8)</f>
        <v>0</v>
      </c>
    </row>
    <row r="29" customFormat="false" ht="15" hidden="false" customHeight="true" outlineLevel="0" collapsed="false">
      <c r="B29" s="4" t="s">
        <v>708</v>
      </c>
      <c r="C29" s="3" t="s">
        <v>297</v>
      </c>
      <c r="D29" s="59" t="n">
        <f aca="false">AD29</f>
        <v>0</v>
      </c>
      <c r="E29" s="57" t="n">
        <f aca="false">E25+E26-E28</f>
        <v>53.5249528413889</v>
      </c>
      <c r="F29" s="57" t="n">
        <f aca="false">F25+F26-F28</f>
        <v>50.0875565820424</v>
      </c>
      <c r="G29" s="57" t="n">
        <f aca="false">G25+G26-G28</f>
        <v>46.3326330114646</v>
      </c>
      <c r="H29" s="57" t="n">
        <f aca="false">H25+H26-H28</f>
        <v>42.2266681647921</v>
      </c>
      <c r="I29" s="57" t="n">
        <f aca="false">I25+I26-I28</f>
        <v>37.7326298052397</v>
      </c>
      <c r="J29" s="57" t="n">
        <f aca="false">J25+J26-J28</f>
        <v>32.8095980027709</v>
      </c>
      <c r="K29" s="57" t="n">
        <f aca="false">K25+K26-K28</f>
        <v>27.4123569235403</v>
      </c>
      <c r="L29" s="57" t="n">
        <f aca="false">L25+L26-L28</f>
        <v>21.4909437572377</v>
      </c>
      <c r="M29" s="57" t="n">
        <f aca="false">M25+M26-M28</f>
        <v>14.9901502818157</v>
      </c>
      <c r="N29" s="57" t="n">
        <f aca="false">N25+N26-N28</f>
        <v>7.84897209252332</v>
      </c>
      <c r="O29" s="57" t="n">
        <f aca="false">O25+O26-O28</f>
        <v>0</v>
      </c>
      <c r="P29" s="57" t="n">
        <f aca="false">P25+P26-P28</f>
        <v>0</v>
      </c>
      <c r="Q29" s="57" t="n">
        <f aca="false">Q25+Q26-Q28</f>
        <v>0</v>
      </c>
      <c r="R29" s="57" t="n">
        <f aca="false">R25+R26-R28</f>
        <v>0</v>
      </c>
      <c r="S29" s="57" t="n">
        <f aca="false">S25+S26-S28</f>
        <v>0</v>
      </c>
      <c r="T29" s="57" t="n">
        <f aca="false">T25+T26-T28</f>
        <v>0</v>
      </c>
      <c r="U29" s="57" t="n">
        <f aca="false">U25+U26-U28</f>
        <v>0</v>
      </c>
      <c r="V29" s="57" t="n">
        <f aca="false">V25+V26-V28</f>
        <v>0</v>
      </c>
      <c r="W29" s="57" t="n">
        <f aca="false">W25+W26-W28</f>
        <v>0</v>
      </c>
      <c r="X29" s="57" t="n">
        <f aca="false">X25+X26-X28</f>
        <v>0</v>
      </c>
      <c r="Y29" s="57" t="n">
        <f aca="false">Y25+Y26-Y28</f>
        <v>0</v>
      </c>
      <c r="Z29" s="57" t="n">
        <f aca="false">Z25+Z26-Z28</f>
        <v>0</v>
      </c>
      <c r="AA29" s="57" t="n">
        <f aca="false">AA25+AA26-AA28</f>
        <v>0</v>
      </c>
      <c r="AB29" s="57" t="n">
        <f aca="false">AB25+AB26-AB28</f>
        <v>0</v>
      </c>
      <c r="AC29" s="57" t="n">
        <f aca="false">AC25+AC26-AC28</f>
        <v>0</v>
      </c>
      <c r="AD29" s="57" t="n">
        <f aca="false">AD25+AD26-AD28</f>
        <v>0</v>
      </c>
    </row>
    <row r="30" customFormat="false" ht="15" hidden="false" customHeight="true" outlineLevel="0" collapsed="false">
      <c r="B30" s="40" t="s">
        <v>397</v>
      </c>
      <c r="C30" s="3" t="s">
        <v>297</v>
      </c>
      <c r="D30" s="59" t="n">
        <f aca="false">SUM(E30:AD30)</f>
        <v>90.9845979817953</v>
      </c>
      <c r="E30" s="57" t="n">
        <f aca="false">E27+E28</f>
        <v>2.34171668681077</v>
      </c>
      <c r="F30" s="57" t="n">
        <f aca="false">F27+F28</f>
        <v>9.05751630769231</v>
      </c>
      <c r="G30" s="57" t="n">
        <f aca="false">G27+G28</f>
        <v>9.01411701169231</v>
      </c>
      <c r="H30" s="57" t="n">
        <f aca="false">H27+H28</f>
        <v>8.97089131287631</v>
      </c>
      <c r="I30" s="57" t="n">
        <f aca="false">I27+I28</f>
        <v>8.92783851685557</v>
      </c>
      <c r="J30" s="57" t="n">
        <f aca="false">J27+J28</f>
        <v>8.88495793201892</v>
      </c>
      <c r="K30" s="57" t="n">
        <f aca="false">K27+K28</f>
        <v>8.84224886952161</v>
      </c>
      <c r="L30" s="57" t="n">
        <f aca="false">L27+L28</f>
        <v>8.7997106432743</v>
      </c>
      <c r="M30" s="57" t="n">
        <f aca="false">M27+M28</f>
        <v>8.75734256993196</v>
      </c>
      <c r="N30" s="57" t="n">
        <f aca="false">N27+N28</f>
        <v>8.71514396888301</v>
      </c>
      <c r="O30" s="57" t="n">
        <f aca="false">O27+O28</f>
        <v>8.67311416223827</v>
      </c>
      <c r="P30" s="57" t="n">
        <f aca="false">P27+P28</f>
        <v>0</v>
      </c>
      <c r="Q30" s="57" t="n">
        <f aca="false">Q27+Q28</f>
        <v>0</v>
      </c>
      <c r="R30" s="57" t="n">
        <f aca="false">R27+R28</f>
        <v>0</v>
      </c>
      <c r="S30" s="57" t="n">
        <f aca="false">S27+S28</f>
        <v>0</v>
      </c>
      <c r="T30" s="57" t="n">
        <f aca="false">T27+T28</f>
        <v>0</v>
      </c>
      <c r="U30" s="57" t="n">
        <f aca="false">U27+U28</f>
        <v>0</v>
      </c>
      <c r="V30" s="57" t="n">
        <f aca="false">V27+V28</f>
        <v>0</v>
      </c>
      <c r="W30" s="57" t="n">
        <f aca="false">W27+W28</f>
        <v>0</v>
      </c>
      <c r="X30" s="57" t="n">
        <f aca="false">X27+X28</f>
        <v>0</v>
      </c>
      <c r="Y30" s="57" t="n">
        <f aca="false">Y27+Y28</f>
        <v>0</v>
      </c>
      <c r="Z30" s="57" t="n">
        <f aca="false">Z27+Z28</f>
        <v>0</v>
      </c>
      <c r="AA30" s="57" t="n">
        <f aca="false">AA27+AA28</f>
        <v>0</v>
      </c>
      <c r="AB30" s="57" t="n">
        <f aca="false">AB27+AB28</f>
        <v>0</v>
      </c>
      <c r="AC30" s="57" t="n">
        <f aca="false">AC27+AC28</f>
        <v>0</v>
      </c>
      <c r="AD30" s="57" t="n">
        <f aca="false">AD27+AD28</f>
        <v>0</v>
      </c>
    </row>
    <row r="31" customFormat="false" ht="15" hidden="false" customHeight="true" outlineLevel="0" collapsed="false">
      <c r="B31" s="4" t="s">
        <v>709</v>
      </c>
      <c r="C31" s="3" t="s">
        <v>225</v>
      </c>
      <c r="D31" s="44" t="n">
        <f aca="false">MIN(E31:AD31)</f>
        <v>1.40647828469058</v>
      </c>
      <c r="E31" s="65" t="str">
        <f aca="false">IF(E8=1,E16/E30,"")</f>
        <v/>
      </c>
      <c r="F31" s="65" t="n">
        <f aca="false">IF(F8=1,F16/F30,"")</f>
        <v>1.40647828469058</v>
      </c>
      <c r="G31" s="65" t="n">
        <f aca="false">IF(G8=1,G16/G30,"")</f>
        <v>1.40656297045557</v>
      </c>
      <c r="H31" s="65" t="n">
        <f aca="false">IF(H8=1,H16/H30,"")</f>
        <v>1.40664813195179</v>
      </c>
      <c r="I31" s="65" t="n">
        <f aca="false">IF(I8=1,I16/I30,"")</f>
        <v>1.40673377250943</v>
      </c>
      <c r="J31" s="65" t="n">
        <f aca="false">IF(J8=1,J16/J30,"")</f>
        <v>1.40681989548849</v>
      </c>
      <c r="K31" s="65" t="n">
        <f aca="false">IF(K8=1,K16/K30,"")</f>
        <v>1.40690650427918</v>
      </c>
      <c r="L31" s="65" t="n">
        <f aca="false">IF(L8=1,L16/L30,"")</f>
        <v>1.40699360230217</v>
      </c>
      <c r="M31" s="65" t="n">
        <f aca="false">IF(M8=1,M16/M30,"")</f>
        <v>1.40708119300901</v>
      </c>
      <c r="N31" s="65" t="n">
        <f aca="false">IF(N8=1,N16/N30,"")</f>
        <v>1.40716927988244</v>
      </c>
      <c r="O31" s="65" t="n">
        <f aca="false">IF(O8=1,O16/O30,"")</f>
        <v>1.40725786643675</v>
      </c>
      <c r="P31" s="65" t="str">
        <f aca="false">IF(P8=1,P16/P30,"")</f>
        <v/>
      </c>
      <c r="Q31" s="65" t="str">
        <f aca="false">IF(Q8=1,Q16/Q30,"")</f>
        <v/>
      </c>
      <c r="R31" s="65" t="str">
        <f aca="false">IF(R8=1,R16/R30,"")</f>
        <v/>
      </c>
      <c r="S31" s="65" t="str">
        <f aca="false">IF(S8=1,S16/S30,"")</f>
        <v/>
      </c>
      <c r="T31" s="65" t="str">
        <f aca="false">IF(T8=1,T16/T30,"")</f>
        <v/>
      </c>
      <c r="U31" s="65" t="str">
        <f aca="false">IF(U8=1,U16/U30,"")</f>
        <v/>
      </c>
      <c r="V31" s="65" t="str">
        <f aca="false">IF(V8=1,V16/V30,"")</f>
        <v/>
      </c>
      <c r="W31" s="65" t="str">
        <f aca="false">IF(W8=1,W16/W30,"")</f>
        <v/>
      </c>
      <c r="X31" s="65" t="str">
        <f aca="false">IF(X8=1,X16/X30,"")</f>
        <v/>
      </c>
      <c r="Y31" s="65" t="str">
        <f aca="false">IF(Y8=1,Y16/Y30,"")</f>
        <v/>
      </c>
      <c r="Z31" s="65" t="str">
        <f aca="false">IF(Z8=1,Z16/Z30,"")</f>
        <v/>
      </c>
      <c r="AA31" s="65" t="str">
        <f aca="false">IF(AA8=1,AA16/AA30,"")</f>
        <v/>
      </c>
      <c r="AB31" s="65" t="str">
        <f aca="false">IF(AB8=1,AB16/AB30,"")</f>
        <v/>
      </c>
      <c r="AC31" s="65" t="str">
        <f aca="false">IF(AC8=1,AC16/AC30,"")</f>
        <v/>
      </c>
      <c r="AD31" s="65" t="str">
        <f aca="false">IF(AD8=1,AD16/AD30,"")</f>
        <v/>
      </c>
    </row>
    <row r="32" customFormat="false" ht="15" hidden="false" customHeight="true" outlineLevel="0" collapsed="false">
      <c r="B32" s="4" t="s">
        <v>710</v>
      </c>
      <c r="C32" s="3" t="s">
        <v>225</v>
      </c>
      <c r="D32" s="44" t="n">
        <f aca="false">MIN(E32:AD32)</f>
        <v>1.3</v>
      </c>
      <c r="E32" s="65" t="str">
        <f aca="false">IF(E8=1,E17/E30,"")</f>
        <v/>
      </c>
      <c r="F32" s="65" t="n">
        <f aca="false">IF(F8=1,F17/F30,"")</f>
        <v>1.3</v>
      </c>
      <c r="G32" s="65" t="n">
        <f aca="false">IF(G8=1,G17/G30,"")</f>
        <v>1.3</v>
      </c>
      <c r="H32" s="65" t="n">
        <f aca="false">IF(H8=1,H17/H30,"")</f>
        <v>1.3</v>
      </c>
      <c r="I32" s="65" t="n">
        <f aca="false">IF(I8=1,I17/I30,"")</f>
        <v>1.3</v>
      </c>
      <c r="J32" s="65" t="n">
        <f aca="false">IF(J8=1,J17/J30,"")</f>
        <v>1.3</v>
      </c>
      <c r="K32" s="65" t="n">
        <f aca="false">IF(K8=1,K17/K30,"")</f>
        <v>1.3</v>
      </c>
      <c r="L32" s="65" t="n">
        <f aca="false">IF(L8=1,L17/L30,"")</f>
        <v>1.3</v>
      </c>
      <c r="M32" s="65" t="n">
        <f aca="false">IF(M8=1,M17/M30,"")</f>
        <v>1.3</v>
      </c>
      <c r="N32" s="65" t="n">
        <f aca="false">IF(N8=1,N17/N30,"")</f>
        <v>1.3</v>
      </c>
      <c r="O32" s="65" t="n">
        <f aca="false">IF(O8=1,O17/O30,"")</f>
        <v>1.3</v>
      </c>
      <c r="P32" s="65" t="str">
        <f aca="false">IF(P8=1,P17/P30,"")</f>
        <v/>
      </c>
      <c r="Q32" s="65" t="str">
        <f aca="false">IF(Q8=1,Q17/Q30,"")</f>
        <v/>
      </c>
      <c r="R32" s="65" t="str">
        <f aca="false">IF(R8=1,R17/R30,"")</f>
        <v/>
      </c>
      <c r="S32" s="65" t="str">
        <f aca="false">IF(S8=1,S17/S30,"")</f>
        <v/>
      </c>
      <c r="T32" s="65" t="str">
        <f aca="false">IF(T8=1,T17/T30,"")</f>
        <v/>
      </c>
      <c r="U32" s="65" t="str">
        <f aca="false">IF(U8=1,U17/U30,"")</f>
        <v/>
      </c>
      <c r="V32" s="65" t="str">
        <f aca="false">IF(V8=1,V17/V30,"")</f>
        <v/>
      </c>
      <c r="W32" s="65" t="str">
        <f aca="false">IF(W8=1,W17/W30,"")</f>
        <v/>
      </c>
      <c r="X32" s="65" t="str">
        <f aca="false">IF(X8=1,X17/X30,"")</f>
        <v/>
      </c>
      <c r="Y32" s="65" t="str">
        <f aca="false">IF(Y8=1,Y17/Y30,"")</f>
        <v/>
      </c>
      <c r="Z32" s="65" t="str">
        <f aca="false">IF(Z8=1,Z17/Z30,"")</f>
        <v/>
      </c>
      <c r="AA32" s="65" t="str">
        <f aca="false">IF(AA8=1,AA17/AA30,"")</f>
        <v/>
      </c>
      <c r="AB32" s="65" t="str">
        <f aca="false">IF(AB8=1,AB17/AB30,"")</f>
        <v/>
      </c>
      <c r="AC32" s="65" t="str">
        <f aca="false">IF(AC8=1,AC17/AC30,"")</f>
        <v/>
      </c>
      <c r="AD32" s="65" t="str">
        <f aca="false">IF(AD8=1,AD17/AD30,"")</f>
        <v/>
      </c>
    </row>
    <row r="33" customFormat="false" ht="15" hidden="false" customHeight="true" outlineLevel="0" collapsed="false">
      <c r="B33" s="4" t="s">
        <v>711</v>
      </c>
      <c r="C33" s="3" t="s">
        <v>225</v>
      </c>
      <c r="D33" s="44" t="n">
        <f aca="false">MIN(E33:AD33)</f>
        <v>1.40647828469058</v>
      </c>
      <c r="E33" s="65" t="str">
        <f aca="false">IF(E8=1,(E16-E46)/E30,"")</f>
        <v/>
      </c>
      <c r="F33" s="65" t="n">
        <f aca="false">IF(F8=1,(F16-F46)/F30,"")</f>
        <v>1.40647828469058</v>
      </c>
      <c r="G33" s="65" t="n">
        <f aca="false">IF(G8=1,(G16-G46)/G30,"")</f>
        <v>1.40656297045557</v>
      </c>
      <c r="H33" s="65" t="n">
        <f aca="false">IF(H8=1,(H16-H46)/H30,"")</f>
        <v>1.40664813195179</v>
      </c>
      <c r="I33" s="65" t="n">
        <f aca="false">IF(I8=1,(I16-I46)/I30,"")</f>
        <v>1.40673377250943</v>
      </c>
      <c r="J33" s="65" t="n">
        <f aca="false">IF(J8=1,(J16-J46)/J30,"")</f>
        <v>1.40681989548849</v>
      </c>
      <c r="K33" s="65" t="n">
        <f aca="false">IF(K8=1,(K16-K46)/K30,"")</f>
        <v>1.40690650427918</v>
      </c>
      <c r="L33" s="65" t="n">
        <f aca="false">IF(L8=1,(L16-L46)/L30,"")</f>
        <v>1.40699360230217</v>
      </c>
      <c r="M33" s="65" t="n">
        <f aca="false">IF(M8=1,(M16-M46)/M30,"")</f>
        <v>1.40708119300901</v>
      </c>
      <c r="N33" s="65" t="n">
        <f aca="false">IF(N8=1,(N16-N46)/N30,"")</f>
        <v>1.40716927988244</v>
      </c>
      <c r="O33" s="65" t="n">
        <f aca="false">IF(O8=1,(O16-O46)/O30,"")</f>
        <v>1.40725786643675</v>
      </c>
      <c r="P33" s="65" t="str">
        <f aca="false">IF(P8=1,(P16-P46)/P30,"")</f>
        <v/>
      </c>
      <c r="Q33" s="65" t="str">
        <f aca="false">IF(Q8=1,(Q16-Q46)/Q30,"")</f>
        <v/>
      </c>
      <c r="R33" s="65" t="str">
        <f aca="false">IF(R8=1,(R16-R46)/R30,"")</f>
        <v/>
      </c>
      <c r="S33" s="65" t="str">
        <f aca="false">IF(S8=1,(S16-S46)/S30,"")</f>
        <v/>
      </c>
      <c r="T33" s="65" t="str">
        <f aca="false">IF(T8=1,(T16-T46)/T30,"")</f>
        <v/>
      </c>
      <c r="U33" s="65" t="str">
        <f aca="false">IF(U8=1,(U16-U46)/U30,"")</f>
        <v/>
      </c>
      <c r="V33" s="65" t="str">
        <f aca="false">IF(V8=1,(V16-V46)/V30,"")</f>
        <v/>
      </c>
      <c r="W33" s="65" t="str">
        <f aca="false">IF(W8=1,(W16-W46)/W30,"")</f>
        <v/>
      </c>
      <c r="X33" s="65" t="str">
        <f aca="false">IF(X8=1,(X16-X46)/X30,"")</f>
        <v/>
      </c>
      <c r="Y33" s="65" t="str">
        <f aca="false">IF(Y8=1,(Y16-Y46)/Y30,"")</f>
        <v/>
      </c>
      <c r="Z33" s="65" t="str">
        <f aca="false">IF(Z8=1,(Z16-Z46)/Z30,"")</f>
        <v/>
      </c>
      <c r="AA33" s="65" t="str">
        <f aca="false">IF(AA8=1,(AA16-AA46)/AA30,"")</f>
        <v/>
      </c>
      <c r="AB33" s="65" t="str">
        <f aca="false">IF(AB8=1,(AB16-AB46)/AB30,"")</f>
        <v/>
      </c>
      <c r="AC33" s="65" t="str">
        <f aca="false">IF(AC8=1,(AC16-AC46)/AC30,"")</f>
        <v/>
      </c>
      <c r="AD33" s="65" t="str">
        <f aca="false">IF(AD8=1,(AD16-AD46)/AD30,"")</f>
        <v/>
      </c>
    </row>
    <row r="34" customFormat="false" ht="15" hidden="false" customHeight="true" outlineLevel="0" collapsed="false">
      <c r="B34" s="21" t="s">
        <v>712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row>
    <row r="35" customFormat="false" ht="15" hidden="false" customHeight="true" outlineLevel="0" collapsed="false">
      <c r="B35" s="4" t="s">
        <v>713</v>
      </c>
      <c r="C35" s="3" t="s">
        <v>297</v>
      </c>
      <c r="E35" s="57" t="n">
        <f aca="false">'Sources &amp; Uses'!$C$43</f>
        <v>85.8099184462936</v>
      </c>
      <c r="F35" s="57" t="n">
        <f aca="false">E37</f>
        <v>82.5920465045576</v>
      </c>
      <c r="G35" s="57" t="n">
        <f aca="false">F37</f>
        <v>74.8691538443912</v>
      </c>
      <c r="H35" s="57" t="n">
        <f aca="false">G37</f>
        <v>67.1462611842247</v>
      </c>
      <c r="I35" s="57" t="n">
        <f aca="false">H37</f>
        <v>59.4233685240583</v>
      </c>
      <c r="J35" s="57" t="n">
        <f aca="false">I37</f>
        <v>51.7004758638919</v>
      </c>
      <c r="K35" s="57" t="n">
        <f aca="false">J37</f>
        <v>46.9809303493458</v>
      </c>
      <c r="L35" s="57" t="n">
        <f aca="false">K37</f>
        <v>42.2613848347996</v>
      </c>
      <c r="M35" s="57" t="n">
        <f aca="false">L37</f>
        <v>37.5418393202535</v>
      </c>
      <c r="N35" s="57" t="n">
        <f aca="false">M37</f>
        <v>32.8222938057073</v>
      </c>
      <c r="O35" s="57" t="n">
        <f aca="false">N37</f>
        <v>28.1027482911612</v>
      </c>
      <c r="P35" s="57" t="n">
        <f aca="false">O37</f>
        <v>23.383202776615</v>
      </c>
      <c r="Q35" s="57" t="n">
        <f aca="false">P37</f>
        <v>18.6636572620689</v>
      </c>
      <c r="R35" s="57" t="n">
        <f aca="false">Q37</f>
        <v>13.9441117475227</v>
      </c>
      <c r="S35" s="57" t="n">
        <f aca="false">R37</f>
        <v>9.22456623297656</v>
      </c>
      <c r="T35" s="57" t="n">
        <f aca="false">S37</f>
        <v>4.50502071843042</v>
      </c>
      <c r="U35" s="57" t="n">
        <f aca="false">T37</f>
        <v>0</v>
      </c>
      <c r="V35" s="57" t="n">
        <f aca="false">U37</f>
        <v>0</v>
      </c>
      <c r="W35" s="57" t="n">
        <f aca="false">V37</f>
        <v>0</v>
      </c>
      <c r="X35" s="57" t="n">
        <f aca="false">W37</f>
        <v>0</v>
      </c>
      <c r="Y35" s="57" t="n">
        <f aca="false">X37</f>
        <v>0</v>
      </c>
      <c r="Z35" s="57" t="n">
        <f aca="false">Y37</f>
        <v>0</v>
      </c>
      <c r="AA35" s="57" t="n">
        <f aca="false">Z37</f>
        <v>0</v>
      </c>
      <c r="AB35" s="57" t="n">
        <f aca="false">AA37</f>
        <v>0</v>
      </c>
      <c r="AC35" s="57" t="n">
        <f aca="false">AB37</f>
        <v>0</v>
      </c>
      <c r="AD35" s="57" t="n">
        <f aca="false">AC37</f>
        <v>0</v>
      </c>
    </row>
    <row r="36" customFormat="false" ht="15" hidden="false" customHeight="true" outlineLevel="0" collapsed="false">
      <c r="B36" s="4" t="s">
        <v>714</v>
      </c>
      <c r="C36" s="3" t="s">
        <v>297</v>
      </c>
      <c r="D36" s="59" t="n">
        <f aca="false">SUM(E36:AD36)</f>
        <v>85.8099184462936</v>
      </c>
      <c r="E36" s="57" t="n">
        <f aca="false">MIN(E35,'Sources &amp; Uses'!$C$43*IF(E5&lt;=4,Inputs!$C$22,Inputs!$C$23)*E7)</f>
        <v>3.21787194173601</v>
      </c>
      <c r="F36" s="57" t="n">
        <f aca="false">MIN(F35,'Sources &amp; Uses'!$C$43*IF(F5&lt;=4,Inputs!$C$22,Inputs!$C$23)*F7)</f>
        <v>7.72289266016642</v>
      </c>
      <c r="G36" s="57" t="n">
        <f aca="false">MIN(G35,'Sources &amp; Uses'!$C$43*IF(G5&lt;=4,Inputs!$C$22,Inputs!$C$23)*G7)</f>
        <v>7.72289266016642</v>
      </c>
      <c r="H36" s="57" t="n">
        <f aca="false">MIN(H35,'Sources &amp; Uses'!$C$43*IF(H5&lt;=4,Inputs!$C$22,Inputs!$C$23)*H7)</f>
        <v>7.72289266016642</v>
      </c>
      <c r="I36" s="57" t="n">
        <f aca="false">MIN(I35,'Sources &amp; Uses'!$C$43*IF(I5&lt;=4,Inputs!$C$22,Inputs!$C$23)*I7)</f>
        <v>7.72289266016642</v>
      </c>
      <c r="J36" s="57" t="n">
        <f aca="false">MIN(J35,'Sources &amp; Uses'!$C$43*IF(J5&lt;=4,Inputs!$C$22,Inputs!$C$23)*J7)</f>
        <v>4.71954551454615</v>
      </c>
      <c r="K36" s="57" t="n">
        <f aca="false">MIN(K35,'Sources &amp; Uses'!$C$43*IF(K5&lt;=4,Inputs!$C$22,Inputs!$C$23)*K7)</f>
        <v>4.71954551454615</v>
      </c>
      <c r="L36" s="57" t="n">
        <f aca="false">MIN(L35,'Sources &amp; Uses'!$C$43*IF(L5&lt;=4,Inputs!$C$22,Inputs!$C$23)*L7)</f>
        <v>4.71954551454615</v>
      </c>
      <c r="M36" s="57" t="n">
        <f aca="false">MIN(M35,'Sources &amp; Uses'!$C$43*IF(M5&lt;=4,Inputs!$C$22,Inputs!$C$23)*M7)</f>
        <v>4.71954551454615</v>
      </c>
      <c r="N36" s="57" t="n">
        <f aca="false">MIN(N35,'Sources &amp; Uses'!$C$43*IF(N5&lt;=4,Inputs!$C$22,Inputs!$C$23)*N7)</f>
        <v>4.71954551454615</v>
      </c>
      <c r="O36" s="57" t="n">
        <f aca="false">MIN(O35,'Sources &amp; Uses'!$C$43*IF(O5&lt;=4,Inputs!$C$22,Inputs!$C$23)*O7)</f>
        <v>4.71954551454615</v>
      </c>
      <c r="P36" s="57" t="n">
        <f aca="false">MIN(P35,'Sources &amp; Uses'!$C$43*IF(P5&lt;=4,Inputs!$C$22,Inputs!$C$23)*P7)</f>
        <v>4.71954551454615</v>
      </c>
      <c r="Q36" s="57" t="n">
        <f aca="false">MIN(Q35,'Sources &amp; Uses'!$C$43*IF(Q5&lt;=4,Inputs!$C$22,Inputs!$C$23)*Q7)</f>
        <v>4.71954551454615</v>
      </c>
      <c r="R36" s="57" t="n">
        <f aca="false">MIN(R35,'Sources &amp; Uses'!$C$43*IF(R5&lt;=4,Inputs!$C$22,Inputs!$C$23)*R7)</f>
        <v>4.71954551454615</v>
      </c>
      <c r="S36" s="57" t="n">
        <f aca="false">MIN(S35,'Sources &amp; Uses'!$C$43*IF(S5&lt;=4,Inputs!$C$22,Inputs!$C$23)*S7)</f>
        <v>4.71954551454615</v>
      </c>
      <c r="T36" s="57" t="n">
        <f aca="false">MIN(T35,'Sources &amp; Uses'!$C$43*IF(T5&lt;=4,Inputs!$C$22,Inputs!$C$23)*T7)</f>
        <v>4.50502071843042</v>
      </c>
      <c r="U36" s="57" t="n">
        <f aca="false">MIN(U35,'Sources &amp; Uses'!$C$43*IF(U5&lt;=4,Inputs!$C$22,Inputs!$C$23)*U7)</f>
        <v>0</v>
      </c>
      <c r="V36" s="57" t="n">
        <f aca="false">MIN(V35,'Sources &amp; Uses'!$C$43*IF(V5&lt;=4,Inputs!$C$22,Inputs!$C$23)*V7)</f>
        <v>0</v>
      </c>
      <c r="W36" s="57" t="n">
        <f aca="false">MIN(W35,'Sources &amp; Uses'!$C$43*IF(W5&lt;=4,Inputs!$C$22,Inputs!$C$23)*W7)</f>
        <v>0</v>
      </c>
      <c r="X36" s="57" t="n">
        <f aca="false">MIN(X35,'Sources &amp; Uses'!$C$43*IF(X5&lt;=4,Inputs!$C$22,Inputs!$C$23)*X7)</f>
        <v>0</v>
      </c>
      <c r="Y36" s="57" t="n">
        <f aca="false">MIN(Y35,'Sources &amp; Uses'!$C$43*IF(Y5&lt;=4,Inputs!$C$22,Inputs!$C$23)*Y7)</f>
        <v>0</v>
      </c>
      <c r="Z36" s="57" t="n">
        <f aca="false">MIN(Z35,'Sources &amp; Uses'!$C$43*IF(Z5&lt;=4,Inputs!$C$22,Inputs!$C$23)*Z7)</f>
        <v>0</v>
      </c>
      <c r="AA36" s="57" t="n">
        <f aca="false">MIN(AA35,'Sources &amp; Uses'!$C$43*IF(AA5&lt;=4,Inputs!$C$22,Inputs!$C$23)*AA7)</f>
        <v>0</v>
      </c>
      <c r="AB36" s="57" t="n">
        <f aca="false">MIN(AB35,'Sources &amp; Uses'!$C$43*IF(AB5&lt;=4,Inputs!$C$22,Inputs!$C$23)*AB7)</f>
        <v>0</v>
      </c>
      <c r="AC36" s="57" t="n">
        <f aca="false">MIN(AC35,'Sources &amp; Uses'!$C$43*IF(AC5&lt;=4,Inputs!$C$22,Inputs!$C$23)*AC7)</f>
        <v>0</v>
      </c>
      <c r="AD36" s="57" t="n">
        <f aca="false">MIN(AD35,'Sources &amp; Uses'!$C$43*IF(AD5&lt;=4,Inputs!$C$22,Inputs!$C$23)*AD7)</f>
        <v>0</v>
      </c>
    </row>
    <row r="37" customFormat="false" ht="15" hidden="false" customHeight="true" outlineLevel="0" collapsed="false">
      <c r="B37" s="4" t="s">
        <v>715</v>
      </c>
      <c r="C37" s="3" t="s">
        <v>297</v>
      </c>
      <c r="E37" s="57" t="n">
        <f aca="false">E35-E36</f>
        <v>82.5920465045576</v>
      </c>
      <c r="F37" s="57" t="n">
        <f aca="false">F35-F36</f>
        <v>74.8691538443912</v>
      </c>
      <c r="G37" s="57" t="n">
        <f aca="false">G35-G36</f>
        <v>67.1462611842247</v>
      </c>
      <c r="H37" s="57" t="n">
        <f aca="false">H35-H36</f>
        <v>59.4233685240583</v>
      </c>
      <c r="I37" s="57" t="n">
        <f aca="false">I35-I36</f>
        <v>51.7004758638919</v>
      </c>
      <c r="J37" s="57" t="n">
        <f aca="false">J35-J36</f>
        <v>46.9809303493458</v>
      </c>
      <c r="K37" s="57" t="n">
        <f aca="false">K35-K36</f>
        <v>42.2613848347996</v>
      </c>
      <c r="L37" s="57" t="n">
        <f aca="false">L35-L36</f>
        <v>37.5418393202535</v>
      </c>
      <c r="M37" s="57" t="n">
        <f aca="false">M35-M36</f>
        <v>32.8222938057073</v>
      </c>
      <c r="N37" s="57" t="n">
        <f aca="false">N35-N36</f>
        <v>28.1027482911612</v>
      </c>
      <c r="O37" s="57" t="n">
        <f aca="false">O35-O36</f>
        <v>23.383202776615</v>
      </c>
      <c r="P37" s="57" t="n">
        <f aca="false">P35-P36</f>
        <v>18.6636572620689</v>
      </c>
      <c r="Q37" s="57" t="n">
        <f aca="false">Q35-Q36</f>
        <v>13.9441117475227</v>
      </c>
      <c r="R37" s="57" t="n">
        <f aca="false">R35-R36</f>
        <v>9.22456623297656</v>
      </c>
      <c r="S37" s="57" t="n">
        <f aca="false">S35-S36</f>
        <v>4.50502071843042</v>
      </c>
      <c r="T37" s="57" t="n">
        <f aca="false">T35-T36</f>
        <v>0</v>
      </c>
      <c r="U37" s="57" t="n">
        <f aca="false">U35-U36</f>
        <v>0</v>
      </c>
      <c r="V37" s="57" t="n">
        <f aca="false">V35-V36</f>
        <v>0</v>
      </c>
      <c r="W37" s="57" t="n">
        <f aca="false">W35-W36</f>
        <v>0</v>
      </c>
      <c r="X37" s="57" t="n">
        <f aca="false">X35-X36</f>
        <v>0</v>
      </c>
      <c r="Y37" s="57" t="n">
        <f aca="false">Y35-Y36</f>
        <v>0</v>
      </c>
      <c r="Z37" s="57" t="n">
        <f aca="false">Z35-Z36</f>
        <v>0</v>
      </c>
      <c r="AA37" s="57" t="n">
        <f aca="false">AA35-AA36</f>
        <v>0</v>
      </c>
      <c r="AB37" s="57" t="n">
        <f aca="false">AB35-AB36</f>
        <v>0</v>
      </c>
      <c r="AC37" s="57" t="n">
        <f aca="false">AC35-AC36</f>
        <v>0</v>
      </c>
      <c r="AD37" s="57" t="n">
        <f aca="false">AD35-AD36</f>
        <v>0</v>
      </c>
    </row>
    <row r="38" customFormat="false" ht="15" hidden="false" customHeight="true" outlineLevel="0" collapsed="false">
      <c r="B38" s="4" t="s">
        <v>716</v>
      </c>
      <c r="C38" s="3" t="s">
        <v>297</v>
      </c>
      <c r="E38" s="57" t="n">
        <f aca="false">'Sources &amp; Uses'!$C$43</f>
        <v>85.8099184462936</v>
      </c>
      <c r="F38" s="57" t="n">
        <f aca="false">E40+E49</f>
        <v>68.6479347570349</v>
      </c>
      <c r="G38" s="57" t="n">
        <f aca="false">F40+F49</f>
        <v>41.1887608542209</v>
      </c>
      <c r="H38" s="57" t="n">
        <f aca="false">G40+G49</f>
        <v>24.7132565125326</v>
      </c>
      <c r="I38" s="57" t="n">
        <f aca="false">H40+H49</f>
        <v>14.8279539075195</v>
      </c>
      <c r="J38" s="57" t="n">
        <f aca="false">I40+I49</f>
        <v>8.89677234451172</v>
      </c>
      <c r="K38" s="57" t="n">
        <f aca="false">J40+J49</f>
        <v>5.33806340670703</v>
      </c>
      <c r="L38" s="57" t="n">
        <f aca="false">K40+K49</f>
        <v>3.20283804402422</v>
      </c>
      <c r="M38" s="57" t="n">
        <f aca="false">L40+L49</f>
        <v>1.92170282641453</v>
      </c>
      <c r="N38" s="57" t="n">
        <f aca="false">M40+M49</f>
        <v>1.15302169584872</v>
      </c>
      <c r="O38" s="57" t="n">
        <f aca="false">N40+N49</f>
        <v>0.691813017509231</v>
      </c>
      <c r="P38" s="57" t="n">
        <f aca="false">O40+O49</f>
        <v>0.415087810505539</v>
      </c>
      <c r="Q38" s="57" t="n">
        <f aca="false">P40+P49</f>
        <v>0.249052686303323</v>
      </c>
      <c r="R38" s="57" t="n">
        <f aca="false">Q40+Q49</f>
        <v>6.03443161178199</v>
      </c>
      <c r="S38" s="57" t="n">
        <f aca="false">R40+R49</f>
        <v>3.6206589670692</v>
      </c>
      <c r="T38" s="57" t="n">
        <f aca="false">S40+S49</f>
        <v>2.17239538024152</v>
      </c>
      <c r="U38" s="57" t="n">
        <f aca="false">T40+T49</f>
        <v>1.30343722814491</v>
      </c>
      <c r="V38" s="57" t="n">
        <f aca="false">U40+U49</f>
        <v>0.782062336886946</v>
      </c>
      <c r="W38" s="57" t="n">
        <f aca="false">V40+V49</f>
        <v>0.469237402132168</v>
      </c>
      <c r="X38" s="57" t="n">
        <f aca="false">W40+W49</f>
        <v>0.281542441279301</v>
      </c>
      <c r="Y38" s="57" t="n">
        <f aca="false">X40+X49</f>
        <v>0.16892546476758</v>
      </c>
      <c r="Z38" s="57" t="n">
        <f aca="false">Y40+Y49</f>
        <v>0.101355278860548</v>
      </c>
      <c r="AA38" s="57" t="n">
        <f aca="false">Z40+Z49</f>
        <v>0.0608131673163289</v>
      </c>
      <c r="AB38" s="57" t="n">
        <f aca="false">AA40+AA49</f>
        <v>0.0364879003897974</v>
      </c>
      <c r="AC38" s="57" t="n">
        <f aca="false">AB40+AB49</f>
        <v>0.0218927402338784</v>
      </c>
      <c r="AD38" s="57" t="n">
        <f aca="false">AC40+AC49</f>
        <v>0.013135644140327</v>
      </c>
    </row>
    <row r="39" customFormat="false" ht="15" hidden="false" customHeight="true" outlineLevel="0" collapsed="false">
      <c r="B39" s="4" t="s">
        <v>717</v>
      </c>
      <c r="C39" s="3" t="s">
        <v>297</v>
      </c>
      <c r="D39" s="59" t="n">
        <f aca="false">SUM(E39:AD39)</f>
        <v>91.6870370598094</v>
      </c>
      <c r="E39" s="57" t="n">
        <f aca="false">E38*Inputs!$C$24*IF(Inputs!$C$9&lt;6,0.5,1)*IF(Inputs!$C$9&gt;0,1,0)</f>
        <v>17.1619836892587</v>
      </c>
      <c r="F39" s="57" t="n">
        <f aca="false">F38*Inputs!$C$24*IF(F7&gt;0,1,0)</f>
        <v>27.459173902814</v>
      </c>
      <c r="G39" s="57" t="n">
        <f aca="false">G38*Inputs!$C$24*IF(G7&gt;0,1,0)</f>
        <v>16.4755043416884</v>
      </c>
      <c r="H39" s="57" t="n">
        <f aca="false">H38*Inputs!$C$24*IF(H7&gt;0,1,0)</f>
        <v>9.88530260501302</v>
      </c>
      <c r="I39" s="57" t="n">
        <f aca="false">I38*Inputs!$C$24*IF(I7&gt;0,1,0)</f>
        <v>5.93118156300781</v>
      </c>
      <c r="J39" s="57" t="n">
        <f aca="false">J38*Inputs!$C$24*IF(J7&gt;0,1,0)</f>
        <v>3.55870893780469</v>
      </c>
      <c r="K39" s="57" t="n">
        <f aca="false">K38*Inputs!$C$24*IF(K7&gt;0,1,0)</f>
        <v>2.13522536268281</v>
      </c>
      <c r="L39" s="57" t="n">
        <f aca="false">L38*Inputs!$C$24*IF(L7&gt;0,1,0)</f>
        <v>1.28113521760969</v>
      </c>
      <c r="M39" s="57" t="n">
        <f aca="false">M38*Inputs!$C$24*IF(M7&gt;0,1,0)</f>
        <v>0.768681130565812</v>
      </c>
      <c r="N39" s="57" t="n">
        <f aca="false">N38*Inputs!$C$24*IF(N7&gt;0,1,0)</f>
        <v>0.461208678339487</v>
      </c>
      <c r="O39" s="57" t="n">
        <f aca="false">O38*Inputs!$C$24*IF(O7&gt;0,1,0)</f>
        <v>0.276725207003692</v>
      </c>
      <c r="P39" s="57" t="n">
        <f aca="false">P38*Inputs!$C$24*IF(P7&gt;0,1,0)</f>
        <v>0.166035124202215</v>
      </c>
      <c r="Q39" s="57" t="n">
        <f aca="false">Q38*Inputs!$C$24*IF(Q7&gt;0,1,0)</f>
        <v>0.0996210745213293</v>
      </c>
      <c r="R39" s="57" t="n">
        <f aca="false">R38*Inputs!$C$24*IF(R7&gt;0,1,0)</f>
        <v>2.4137726447128</v>
      </c>
      <c r="S39" s="57" t="n">
        <f aca="false">S38*Inputs!$C$24*IF(S7&gt;0,1,0)</f>
        <v>1.44826358682768</v>
      </c>
      <c r="T39" s="57" t="n">
        <f aca="false">T38*Inputs!$C$24*IF(T7&gt;0,1,0)</f>
        <v>0.868958152096607</v>
      </c>
      <c r="U39" s="57" t="n">
        <f aca="false">U38*Inputs!$C$24*IF(U7&gt;0,1,0)</f>
        <v>0.521374891257964</v>
      </c>
      <c r="V39" s="57" t="n">
        <f aca="false">V38*Inputs!$C$24*IF(V7&gt;0,1,0)</f>
        <v>0.312824934754778</v>
      </c>
      <c r="W39" s="57" t="n">
        <f aca="false">W38*Inputs!$C$24*IF(W7&gt;0,1,0)</f>
        <v>0.187694960852867</v>
      </c>
      <c r="X39" s="57" t="n">
        <f aca="false">X38*Inputs!$C$24*IF(X7&gt;0,1,0)</f>
        <v>0.11261697651172</v>
      </c>
      <c r="Y39" s="57" t="n">
        <f aca="false">Y38*Inputs!$C$24*IF(Y7&gt;0,1,0)</f>
        <v>0.0675701859070322</v>
      </c>
      <c r="Z39" s="57" t="n">
        <f aca="false">Z38*Inputs!$C$24*IF(Z7&gt;0,1,0)</f>
        <v>0.0405421115442193</v>
      </c>
      <c r="AA39" s="57" t="n">
        <f aca="false">AA38*Inputs!$C$24*IF(AA7&gt;0,1,0)</f>
        <v>0.0243252669265316</v>
      </c>
      <c r="AB39" s="57" t="n">
        <f aca="false">AB38*Inputs!$C$24*IF(AB7&gt;0,1,0)</f>
        <v>0.0145951601559189</v>
      </c>
      <c r="AC39" s="57" t="n">
        <f aca="false">AC38*Inputs!$C$24*IF(AC7&gt;0,1,0)</f>
        <v>0.00875709609355137</v>
      </c>
      <c r="AD39" s="57" t="n">
        <f aca="false">AD38*Inputs!$C$24*IF(AD7&gt;0,1,0)</f>
        <v>0.00525425765613082</v>
      </c>
    </row>
    <row r="40" customFormat="false" ht="15" hidden="false" customHeight="true" outlineLevel="0" collapsed="false">
      <c r="B40" s="4" t="s">
        <v>718</v>
      </c>
      <c r="C40" s="3" t="s">
        <v>297</v>
      </c>
      <c r="E40" s="57" t="n">
        <f aca="false">E38-E39</f>
        <v>68.6479347570349</v>
      </c>
      <c r="F40" s="57" t="n">
        <f aca="false">F38-F39</f>
        <v>41.1887608542209</v>
      </c>
      <c r="G40" s="57" t="n">
        <f aca="false">G38-G39</f>
        <v>24.7132565125326</v>
      </c>
      <c r="H40" s="57" t="n">
        <f aca="false">H38-H39</f>
        <v>14.8279539075195</v>
      </c>
      <c r="I40" s="57" t="n">
        <f aca="false">I38-I39</f>
        <v>8.89677234451172</v>
      </c>
      <c r="J40" s="57" t="n">
        <f aca="false">J38-J39</f>
        <v>5.33806340670703</v>
      </c>
      <c r="K40" s="57" t="n">
        <f aca="false">K38-K39</f>
        <v>3.20283804402422</v>
      </c>
      <c r="L40" s="57" t="n">
        <f aca="false">L38-L39</f>
        <v>1.92170282641453</v>
      </c>
      <c r="M40" s="57" t="n">
        <f aca="false">M38-M39</f>
        <v>1.15302169584872</v>
      </c>
      <c r="N40" s="57" t="n">
        <f aca="false">N38-N39</f>
        <v>0.691813017509231</v>
      </c>
      <c r="O40" s="57" t="n">
        <f aca="false">O38-O39</f>
        <v>0.415087810505539</v>
      </c>
      <c r="P40" s="57" t="n">
        <f aca="false">P38-P39</f>
        <v>0.249052686303323</v>
      </c>
      <c r="Q40" s="57" t="n">
        <f aca="false">Q38-Q39</f>
        <v>0.149431611781994</v>
      </c>
      <c r="R40" s="57" t="n">
        <f aca="false">R38-R39</f>
        <v>3.6206589670692</v>
      </c>
      <c r="S40" s="57" t="n">
        <f aca="false">S38-S39</f>
        <v>2.17239538024152</v>
      </c>
      <c r="T40" s="57" t="n">
        <f aca="false">T38-T39</f>
        <v>1.30343722814491</v>
      </c>
      <c r="U40" s="57" t="n">
        <f aca="false">U38-U39</f>
        <v>0.782062336886946</v>
      </c>
      <c r="V40" s="57" t="n">
        <f aca="false">V38-V39</f>
        <v>0.469237402132168</v>
      </c>
      <c r="W40" s="57" t="n">
        <f aca="false">W38-W39</f>
        <v>0.281542441279301</v>
      </c>
      <c r="X40" s="57" t="n">
        <f aca="false">X38-X39</f>
        <v>0.16892546476758</v>
      </c>
      <c r="Y40" s="57" t="n">
        <f aca="false">Y38-Y39</f>
        <v>0.101355278860548</v>
      </c>
      <c r="Z40" s="57" t="n">
        <f aca="false">Z38-Z39</f>
        <v>0.0608131673163289</v>
      </c>
      <c r="AA40" s="57" t="n">
        <f aca="false">AA38-AA39</f>
        <v>0.0364879003897974</v>
      </c>
      <c r="AB40" s="57" t="n">
        <f aca="false">AB38-AB39</f>
        <v>0.0218927402338784</v>
      </c>
      <c r="AC40" s="57" t="n">
        <f aca="false">AC38-AC39</f>
        <v>0.013135644140327</v>
      </c>
      <c r="AD40" s="57" t="n">
        <f aca="false">AD38-AD39</f>
        <v>0.00788138648419623</v>
      </c>
    </row>
    <row r="41" customFormat="false" ht="15" hidden="false" customHeight="true" outlineLevel="0" collapsed="false">
      <c r="B41" s="4" t="s">
        <v>719</v>
      </c>
      <c r="C41" s="3" t="s">
        <v>297</v>
      </c>
      <c r="D41" s="59" t="n">
        <f aca="false">SUM(E41:AD41)</f>
        <v>0</v>
      </c>
      <c r="E41" s="57" t="n">
        <f aca="false">IF(Inputs!$C$41=2,Inputs!$C$42*Inputs!$C$40/12*F30,0)</f>
        <v>0</v>
      </c>
      <c r="F41" s="57" t="n">
        <f aca="false">IF(Inputs!$C$41=2,Inputs!$C$42*Inputs!$C$40/12*G30,0)</f>
        <v>0</v>
      </c>
      <c r="G41" s="57" t="n">
        <f aca="false">IF(Inputs!$C$41=2,Inputs!$C$42*Inputs!$C$40/12*H30,0)</f>
        <v>0</v>
      </c>
      <c r="H41" s="57" t="n">
        <f aca="false">IF(Inputs!$C$41=2,Inputs!$C$42*Inputs!$C$40/12*I30,0)</f>
        <v>0</v>
      </c>
      <c r="I41" s="57" t="n">
        <f aca="false">IF(Inputs!$C$41=2,Inputs!$C$42*Inputs!$C$40/12*J30,0)</f>
        <v>0</v>
      </c>
      <c r="J41" s="57" t="n">
        <f aca="false">IF(Inputs!$C$41=2,Inputs!$C$42*Inputs!$C$40/12*K30,0)</f>
        <v>0</v>
      </c>
      <c r="K41" s="57" t="n">
        <f aca="false">IF(Inputs!$C$41=2,Inputs!$C$42*Inputs!$C$40/12*L30,0)</f>
        <v>0</v>
      </c>
      <c r="L41" s="57" t="n">
        <f aca="false">IF(Inputs!$C$41=2,Inputs!$C$42*Inputs!$C$40/12*M30,0)</f>
        <v>0</v>
      </c>
      <c r="M41" s="57" t="n">
        <f aca="false">IF(Inputs!$C$41=2,Inputs!$C$42*Inputs!$C$40/12*N30,0)</f>
        <v>0</v>
      </c>
      <c r="N41" s="57" t="n">
        <f aca="false">IF(Inputs!$C$41=2,Inputs!$C$42*Inputs!$C$40/12*O30,0)</f>
        <v>0</v>
      </c>
      <c r="O41" s="57" t="n">
        <f aca="false">IF(Inputs!$C$41=2,Inputs!$C$42*Inputs!$C$40/12*P30,0)</f>
        <v>0</v>
      </c>
      <c r="P41" s="57" t="n">
        <f aca="false">IF(Inputs!$C$41=2,Inputs!$C$42*Inputs!$C$40/12*Q30,0)</f>
        <v>0</v>
      </c>
      <c r="Q41" s="57" t="n">
        <f aca="false">IF(Inputs!$C$41=2,Inputs!$C$42*Inputs!$C$40/12*R30,0)</f>
        <v>0</v>
      </c>
      <c r="R41" s="57" t="n">
        <f aca="false">IF(Inputs!$C$41=2,Inputs!$C$42*Inputs!$C$40/12*S30,0)</f>
        <v>0</v>
      </c>
      <c r="S41" s="57" t="n">
        <f aca="false">IF(Inputs!$C$41=2,Inputs!$C$42*Inputs!$C$40/12*T30,0)</f>
        <v>0</v>
      </c>
      <c r="T41" s="57" t="n">
        <f aca="false">IF(Inputs!$C$41=2,Inputs!$C$42*Inputs!$C$40/12*U30,0)</f>
        <v>0</v>
      </c>
      <c r="U41" s="57" t="n">
        <f aca="false">IF(Inputs!$C$41=2,Inputs!$C$42*Inputs!$C$40/12*V30,0)</f>
        <v>0</v>
      </c>
      <c r="V41" s="57" t="n">
        <f aca="false">IF(Inputs!$C$41=2,Inputs!$C$42*Inputs!$C$40/12*W30,0)</f>
        <v>0</v>
      </c>
      <c r="W41" s="57" t="n">
        <f aca="false">IF(Inputs!$C$41=2,Inputs!$C$42*Inputs!$C$40/12*X30,0)</f>
        <v>0</v>
      </c>
      <c r="X41" s="57" t="n">
        <f aca="false">IF(Inputs!$C$41=2,Inputs!$C$42*Inputs!$C$40/12*Y30,0)</f>
        <v>0</v>
      </c>
      <c r="Y41" s="57" t="n">
        <f aca="false">IF(Inputs!$C$41=2,Inputs!$C$42*Inputs!$C$40/12*Z30,0)</f>
        <v>0</v>
      </c>
      <c r="Z41" s="57" t="n">
        <f aca="false">IF(Inputs!$C$41=2,Inputs!$C$42*Inputs!$C$40/12*AA30,0)</f>
        <v>0</v>
      </c>
      <c r="AA41" s="57" t="n">
        <f aca="false">IF(Inputs!$C$41=2,Inputs!$C$42*Inputs!$C$40/12*AB30,0)</f>
        <v>0</v>
      </c>
      <c r="AB41" s="57" t="n">
        <f aca="false">IF(Inputs!$C$41=2,Inputs!$C$42*Inputs!$C$40/12*AC30,0)</f>
        <v>0</v>
      </c>
      <c r="AC41" s="57" t="n">
        <f aca="false">IF(Inputs!$C$41=2,Inputs!$C$42*Inputs!$C$40/12*AD30,0)</f>
        <v>0</v>
      </c>
      <c r="AD41" s="57" t="n">
        <v>0</v>
      </c>
    </row>
    <row r="42" customFormat="false" ht="15" hidden="false" customHeight="true" outlineLevel="0" collapsed="false">
      <c r="B42" s="4" t="s">
        <v>720</v>
      </c>
      <c r="C42" s="3" t="s">
        <v>297</v>
      </c>
      <c r="E42" s="57" t="n">
        <f aca="false">E16-E39-E27-E64-E41</f>
        <v>-15.5187237680988</v>
      </c>
      <c r="F42" s="57" t="n">
        <f aca="false">F16-F39-F27-F64-F41</f>
        <v>-23.3854532499036</v>
      </c>
      <c r="G42" s="57" t="n">
        <f aca="false">G16-G39-G27-G64-G41</f>
        <v>-12.2096679774378</v>
      </c>
      <c r="H42" s="57" t="n">
        <f aca="false">H16-H39-H27-H64-H41</f>
        <v>-5.28523495865176</v>
      </c>
      <c r="I42" s="57" t="n">
        <f aca="false">I16-I39-I27-I64-I41</f>
        <v>-0.959783157774734</v>
      </c>
      <c r="J42" s="57" t="n">
        <f aca="false">J16-J39-J27-J64-J41</f>
        <v>1.82500712735271</v>
      </c>
      <c r="K42" s="57" t="n">
        <f aca="false">K16-K39-K27-K64-K41</f>
        <v>3.70609089937643</v>
      </c>
      <c r="L42" s="57" t="n">
        <f aca="false">L16-L39-L27-L64-L41</f>
        <v>5.06781048798084</v>
      </c>
      <c r="M42" s="57" t="n">
        <f aca="false">M16-M39-M27-M64-M41</f>
        <v>6.14316841117769</v>
      </c>
      <c r="N42" s="57" t="n">
        <f aca="false">N16-N39-N27-N64-N41</f>
        <v>7.07461501019978</v>
      </c>
      <c r="O42" s="57" t="n">
        <f aca="false">O16-O39-O27-O64-O41</f>
        <v>7.95054745996021</v>
      </c>
      <c r="P42" s="57" t="n">
        <f aca="false">P16-P39-P27-P64-P41</f>
        <v>11.9811317745863</v>
      </c>
      <c r="Q42" s="57" t="n">
        <f aca="false">Q16-Q39-Q27-Q64-Q41</f>
        <v>11.9896371566721</v>
      </c>
      <c r="R42" s="57" t="n">
        <f aca="false">R16-R39-R27-R64-R41</f>
        <v>9.61780855355582</v>
      </c>
      <c r="S42" s="57" t="n">
        <f aca="false">S16-S39-S27-S64-S41</f>
        <v>10.5258712866479</v>
      </c>
      <c r="T42" s="57" t="n">
        <f aca="false">T16-T39-T27-T64-T41</f>
        <v>11.047960181885</v>
      </c>
      <c r="U42" s="57" t="n">
        <f aca="false">U16-U39-U27-U64-U41</f>
        <v>11.3385557693878</v>
      </c>
      <c r="V42" s="57" t="n">
        <f aca="false">V16-V39-V27-V64-V41</f>
        <v>11.4903460032484</v>
      </c>
      <c r="W42" s="57" t="n">
        <f aca="false">W16-W39-W27-W64-W41</f>
        <v>11.5589432933983</v>
      </c>
      <c r="X42" s="57" t="n">
        <f aca="false">X16-X39-X27-X64-X41</f>
        <v>11.5777147247224</v>
      </c>
      <c r="Y42" s="57" t="n">
        <f aca="false">Y16-Y39-Y27-Y64-Y41</f>
        <v>11.5666801885221</v>
      </c>
      <c r="Z42" s="57" t="n">
        <f aca="false">Z16-Z39-Z27-Z64-Z41</f>
        <v>11.5378512613872</v>
      </c>
      <c r="AA42" s="57" t="n">
        <f aca="false">AA16-AA39-AA27-AA64-AA41</f>
        <v>11.4984345325132</v>
      </c>
      <c r="AB42" s="57" t="n">
        <f aca="false">AB16-AB39-AB27-AB64-AB41</f>
        <v>11.4527536000861</v>
      </c>
      <c r="AC42" s="57" t="n">
        <f aca="false">AC16-AC39-AC27-AC64-AC41</f>
        <v>11.4034022691075</v>
      </c>
      <c r="AD42" s="57" t="n">
        <f aca="false">AD16-AD39-AD27-AD64-AD41</f>
        <v>6.61977366685899</v>
      </c>
    </row>
    <row r="43" customFormat="false" ht="15" hidden="false" customHeight="true" outlineLevel="0" collapsed="false">
      <c r="B43" s="4" t="s">
        <v>721</v>
      </c>
      <c r="C43" s="3" t="s">
        <v>297</v>
      </c>
      <c r="E43" s="57" t="n">
        <v>0</v>
      </c>
      <c r="F43" s="57" t="n">
        <f aca="false">E45</f>
        <v>15.5187237680988</v>
      </c>
      <c r="G43" s="57" t="n">
        <f aca="false">F45</f>
        <v>38.9041770180024</v>
      </c>
      <c r="H43" s="57" t="n">
        <f aca="false">G45</f>
        <v>51.1138449954401</v>
      </c>
      <c r="I43" s="57" t="n">
        <f aca="false">H45</f>
        <v>56.3990799540919</v>
      </c>
      <c r="J43" s="57" t="n">
        <f aca="false">I45</f>
        <v>57.3588631118666</v>
      </c>
      <c r="K43" s="57" t="n">
        <f aca="false">J45</f>
        <v>55.5338559845139</v>
      </c>
      <c r="L43" s="57" t="n">
        <f aca="false">K45</f>
        <v>51.8277650851375</v>
      </c>
      <c r="M43" s="57" t="n">
        <f aca="false">L45</f>
        <v>46.7599545971567</v>
      </c>
      <c r="N43" s="57" t="n">
        <f aca="false">M45</f>
        <v>40.616786185979</v>
      </c>
      <c r="O43" s="57" t="n">
        <f aca="false">N45</f>
        <v>33.5421711757792</v>
      </c>
      <c r="P43" s="57" t="n">
        <f aca="false">O45</f>
        <v>25.591623715819</v>
      </c>
      <c r="Q43" s="57" t="n">
        <f aca="false">P45</f>
        <v>13.6104919412327</v>
      </c>
      <c r="R43" s="57" t="n">
        <f aca="false">Q45</f>
        <v>1.62085478456059</v>
      </c>
      <c r="S43" s="57" t="n">
        <f aca="false">R45</f>
        <v>0</v>
      </c>
      <c r="T43" s="57" t="n">
        <f aca="false">S45</f>
        <v>0</v>
      </c>
      <c r="U43" s="57" t="n">
        <f aca="false">T45</f>
        <v>0</v>
      </c>
      <c r="V43" s="57" t="n">
        <f aca="false">U45</f>
        <v>0</v>
      </c>
      <c r="W43" s="57" t="n">
        <f aca="false">V45</f>
        <v>0</v>
      </c>
      <c r="X43" s="57" t="n">
        <f aca="false">W45</f>
        <v>0</v>
      </c>
      <c r="Y43" s="57" t="n">
        <f aca="false">X45</f>
        <v>0</v>
      </c>
      <c r="Z43" s="57" t="n">
        <f aca="false">Y45</f>
        <v>0</v>
      </c>
      <c r="AA43" s="57" t="n">
        <f aca="false">Z45</f>
        <v>0</v>
      </c>
      <c r="AB43" s="57" t="n">
        <f aca="false">AA45</f>
        <v>0</v>
      </c>
      <c r="AC43" s="57" t="n">
        <f aca="false">AB45</f>
        <v>0</v>
      </c>
      <c r="AD43" s="57" t="n">
        <f aca="false">AC45</f>
        <v>0</v>
      </c>
    </row>
    <row r="44" customFormat="false" ht="15" hidden="false" customHeight="true" outlineLevel="0" collapsed="false">
      <c r="B44" s="4" t="s">
        <v>722</v>
      </c>
      <c r="C44" s="3" t="s">
        <v>297</v>
      </c>
      <c r="E44" s="57" t="n">
        <f aca="false">IF(E42&gt;0,MIN(E43,E42),0)</f>
        <v>0</v>
      </c>
      <c r="F44" s="57" t="n">
        <f aca="false">IF(F42&gt;0,MIN(F43,F42),0)</f>
        <v>0</v>
      </c>
      <c r="G44" s="57" t="n">
        <f aca="false">IF(G42&gt;0,MIN(G43,G42),0)</f>
        <v>0</v>
      </c>
      <c r="H44" s="57" t="n">
        <f aca="false">IF(H42&gt;0,MIN(H43,H42),0)</f>
        <v>0</v>
      </c>
      <c r="I44" s="57" t="n">
        <f aca="false">IF(I42&gt;0,MIN(I43,I42),0)</f>
        <v>0</v>
      </c>
      <c r="J44" s="57" t="n">
        <f aca="false">IF(J42&gt;0,MIN(J43,J42),0)</f>
        <v>1.82500712735271</v>
      </c>
      <c r="K44" s="57" t="n">
        <f aca="false">IF(K42&gt;0,MIN(K43,K42),0)</f>
        <v>3.70609089937643</v>
      </c>
      <c r="L44" s="57" t="n">
        <f aca="false">IF(L42&gt;0,MIN(L43,L42),0)</f>
        <v>5.06781048798084</v>
      </c>
      <c r="M44" s="57" t="n">
        <f aca="false">IF(M42&gt;0,MIN(M43,M42),0)</f>
        <v>6.14316841117769</v>
      </c>
      <c r="N44" s="57" t="n">
        <f aca="false">IF(N42&gt;0,MIN(N43,N42),0)</f>
        <v>7.07461501019978</v>
      </c>
      <c r="O44" s="57" t="n">
        <f aca="false">IF(O42&gt;0,MIN(O43,O42),0)</f>
        <v>7.95054745996021</v>
      </c>
      <c r="P44" s="57" t="n">
        <f aca="false">IF(P42&gt;0,MIN(P43,P42),0)</f>
        <v>11.9811317745863</v>
      </c>
      <c r="Q44" s="57" t="n">
        <f aca="false">IF(Q42&gt;0,MIN(Q43,Q42),0)</f>
        <v>11.9896371566721</v>
      </c>
      <c r="R44" s="57" t="n">
        <f aca="false">IF(R42&gt;0,MIN(R43,R42),0)</f>
        <v>1.62085478456059</v>
      </c>
      <c r="S44" s="57" t="n">
        <f aca="false">IF(S42&gt;0,MIN(S43,S42),0)</f>
        <v>0</v>
      </c>
      <c r="T44" s="57" t="n">
        <f aca="false">IF(T42&gt;0,MIN(T43,T42),0)</f>
        <v>0</v>
      </c>
      <c r="U44" s="57" t="n">
        <f aca="false">IF(U42&gt;0,MIN(U43,U42),0)</f>
        <v>0</v>
      </c>
      <c r="V44" s="57" t="n">
        <f aca="false">IF(V42&gt;0,MIN(V43,V42),0)</f>
        <v>0</v>
      </c>
      <c r="W44" s="57" t="n">
        <f aca="false">IF(W42&gt;0,MIN(W43,W42),0)</f>
        <v>0</v>
      </c>
      <c r="X44" s="57" t="n">
        <f aca="false">IF(X42&gt;0,MIN(X43,X42),0)</f>
        <v>0</v>
      </c>
      <c r="Y44" s="57" t="n">
        <f aca="false">IF(Y42&gt;0,MIN(Y43,Y42),0)</f>
        <v>0</v>
      </c>
      <c r="Z44" s="57" t="n">
        <f aca="false">IF(Z42&gt;0,MIN(Z43,Z42),0)</f>
        <v>0</v>
      </c>
      <c r="AA44" s="57" t="n">
        <f aca="false">IF(AA42&gt;0,MIN(AA43,AA42),0)</f>
        <v>0</v>
      </c>
      <c r="AB44" s="57" t="n">
        <f aca="false">IF(AB42&gt;0,MIN(AB43,AB42),0)</f>
        <v>0</v>
      </c>
      <c r="AC44" s="57" t="n">
        <f aca="false">IF(AC42&gt;0,MIN(AC43,AC42),0)</f>
        <v>0</v>
      </c>
      <c r="AD44" s="57" t="n">
        <f aca="false">IF(AD42&gt;0,MIN(AD43,AD42),0)</f>
        <v>0</v>
      </c>
    </row>
    <row r="45" customFormat="false" ht="15" hidden="false" customHeight="true" outlineLevel="0" collapsed="false">
      <c r="B45" s="4" t="s">
        <v>723</v>
      </c>
      <c r="C45" s="3" t="s">
        <v>297</v>
      </c>
      <c r="E45" s="57" t="n">
        <f aca="false">E43-E44+MAX(0,-E42)</f>
        <v>15.5187237680988</v>
      </c>
      <c r="F45" s="57" t="n">
        <f aca="false">F43-F44+MAX(0,-F42)</f>
        <v>38.9041770180024</v>
      </c>
      <c r="G45" s="57" t="n">
        <f aca="false">G43-G44+MAX(0,-G42)</f>
        <v>51.1138449954401</v>
      </c>
      <c r="H45" s="57" t="n">
        <f aca="false">H43-H44+MAX(0,-H42)</f>
        <v>56.3990799540919</v>
      </c>
      <c r="I45" s="57" t="n">
        <f aca="false">I43-I44+MAX(0,-I42)</f>
        <v>57.3588631118666</v>
      </c>
      <c r="J45" s="57" t="n">
        <f aca="false">J43-J44+MAX(0,-J42)</f>
        <v>55.5338559845139</v>
      </c>
      <c r="K45" s="57" t="n">
        <f aca="false">K43-K44+MAX(0,-K42)</f>
        <v>51.8277650851375</v>
      </c>
      <c r="L45" s="57" t="n">
        <f aca="false">L43-L44+MAX(0,-L42)</f>
        <v>46.7599545971567</v>
      </c>
      <c r="M45" s="57" t="n">
        <f aca="false">M43-M44+MAX(0,-M42)</f>
        <v>40.616786185979</v>
      </c>
      <c r="N45" s="57" t="n">
        <f aca="false">N43-N44+MAX(0,-N42)</f>
        <v>33.5421711757792</v>
      </c>
      <c r="O45" s="57" t="n">
        <f aca="false">O43-O44+MAX(0,-O42)</f>
        <v>25.591623715819</v>
      </c>
      <c r="P45" s="57" t="n">
        <f aca="false">P43-P44+MAX(0,-P42)</f>
        <v>13.6104919412327</v>
      </c>
      <c r="Q45" s="57" t="n">
        <f aca="false">Q43-Q44+MAX(0,-Q42)</f>
        <v>1.62085478456059</v>
      </c>
      <c r="R45" s="57" t="n">
        <f aca="false">R43-R44+MAX(0,-R42)</f>
        <v>0</v>
      </c>
      <c r="S45" s="57" t="n">
        <f aca="false">S43-S44+MAX(0,-S42)</f>
        <v>0</v>
      </c>
      <c r="T45" s="57" t="n">
        <f aca="false">T43-T44+MAX(0,-T42)</f>
        <v>0</v>
      </c>
      <c r="U45" s="57" t="n">
        <f aca="false">U43-U44+MAX(0,-U42)</f>
        <v>0</v>
      </c>
      <c r="V45" s="57" t="n">
        <f aca="false">V43-V44+MAX(0,-V42)</f>
        <v>0</v>
      </c>
      <c r="W45" s="57" t="n">
        <f aca="false">W43-W44+MAX(0,-W42)</f>
        <v>0</v>
      </c>
      <c r="X45" s="57" t="n">
        <f aca="false">X43-X44+MAX(0,-X42)</f>
        <v>0</v>
      </c>
      <c r="Y45" s="57" t="n">
        <f aca="false">Y43-Y44+MAX(0,-Y42)</f>
        <v>0</v>
      </c>
      <c r="Z45" s="57" t="n">
        <f aca="false">Z43-Z44+MAX(0,-Z42)</f>
        <v>0</v>
      </c>
      <c r="AA45" s="57" t="n">
        <f aca="false">AA43-AA44+MAX(0,-AA42)</f>
        <v>0</v>
      </c>
      <c r="AB45" s="57" t="n">
        <f aca="false">AB43-AB44+MAX(0,-AB42)</f>
        <v>0</v>
      </c>
      <c r="AC45" s="57" t="n">
        <f aca="false">AC43-AC44+MAX(0,-AC42)</f>
        <v>0</v>
      </c>
      <c r="AD45" s="57" t="n">
        <f aca="false">AD43-AD44+MAX(0,-AD42)</f>
        <v>0</v>
      </c>
    </row>
    <row r="46" customFormat="false" ht="15" hidden="false" customHeight="true" outlineLevel="0" collapsed="false">
      <c r="B46" s="4" t="s">
        <v>724</v>
      </c>
      <c r="C46" s="3" t="s">
        <v>297</v>
      </c>
      <c r="D46" s="59" t="n">
        <f aca="false">SUM(E46:AD46)</f>
        <v>35.1383637408086</v>
      </c>
      <c r="E46" s="57" t="n">
        <f aca="false">MAX(0,E42-E44)*Inputs!$C$25</f>
        <v>0</v>
      </c>
      <c r="F46" s="57" t="n">
        <f aca="false">MAX(0,F42-F44)*Inputs!$C$25</f>
        <v>0</v>
      </c>
      <c r="G46" s="57" t="n">
        <f aca="false">MAX(0,G42-G44)*Inputs!$C$25</f>
        <v>0</v>
      </c>
      <c r="H46" s="57" t="n">
        <f aca="false">MAX(0,H42-H44)*Inputs!$C$25</f>
        <v>0</v>
      </c>
      <c r="I46" s="57" t="n">
        <f aca="false">MAX(0,I42-I44)*Inputs!$C$25</f>
        <v>0</v>
      </c>
      <c r="J46" s="57" t="n">
        <f aca="false">MAX(0,J42-J44)*Inputs!$C$25</f>
        <v>0</v>
      </c>
      <c r="K46" s="57" t="n">
        <f aca="false">MAX(0,K42-K44)*Inputs!$C$25</f>
        <v>0</v>
      </c>
      <c r="L46" s="57" t="n">
        <f aca="false">MAX(0,L42-L44)*Inputs!$C$25</f>
        <v>0</v>
      </c>
      <c r="M46" s="57" t="n">
        <f aca="false">MAX(0,M42-M44)*Inputs!$C$25</f>
        <v>0</v>
      </c>
      <c r="N46" s="57" t="n">
        <f aca="false">MAX(0,N42-N44)*Inputs!$C$25</f>
        <v>0</v>
      </c>
      <c r="O46" s="57" t="n">
        <f aca="false">MAX(0,O42-O44)*Inputs!$C$25</f>
        <v>0</v>
      </c>
      <c r="P46" s="57" t="n">
        <f aca="false">MAX(0,P42-P44)*Inputs!$C$25</f>
        <v>0</v>
      </c>
      <c r="Q46" s="57" t="n">
        <f aca="false">MAX(0,Q42-Q44)*Inputs!$C$25</f>
        <v>0</v>
      </c>
      <c r="R46" s="57" t="n">
        <f aca="false">MAX(0,R42-R44)*Inputs!$C$25</f>
        <v>2.01267332458072</v>
      </c>
      <c r="S46" s="57" t="n">
        <f aca="false">MAX(0,S42-S44)*Inputs!$C$25</f>
        <v>2.64915128542354</v>
      </c>
      <c r="T46" s="57" t="n">
        <f aca="false">MAX(0,T42-T44)*Inputs!$C$25</f>
        <v>2.78055061857683</v>
      </c>
      <c r="U46" s="57" t="n">
        <f aca="false">MAX(0,U42-U44)*Inputs!$C$25</f>
        <v>2.85368771603951</v>
      </c>
      <c r="V46" s="57" t="n">
        <f aca="false">MAX(0,V42-V44)*Inputs!$C$25</f>
        <v>2.89189028209755</v>
      </c>
      <c r="W46" s="57" t="n">
        <f aca="false">MAX(0,W42-W44)*Inputs!$C$25</f>
        <v>2.90915484808247</v>
      </c>
      <c r="X46" s="57" t="n">
        <f aca="false">MAX(0,X42-X44)*Inputs!$C$25</f>
        <v>2.91387924191813</v>
      </c>
      <c r="Y46" s="57" t="n">
        <f aca="false">MAX(0,Y42-Y44)*Inputs!$C$25</f>
        <v>2.91110206984725</v>
      </c>
      <c r="Z46" s="57" t="n">
        <f aca="false">MAX(0,Z42-Z44)*Inputs!$C$25</f>
        <v>2.90384640546594</v>
      </c>
      <c r="AA46" s="57" t="n">
        <f aca="false">MAX(0,AA42-AA44)*Inputs!$C$25</f>
        <v>2.89392600314292</v>
      </c>
      <c r="AB46" s="57" t="n">
        <f aca="false">MAX(0,AB42-AB44)*Inputs!$C$25</f>
        <v>2.88242902606966</v>
      </c>
      <c r="AC46" s="57" t="n">
        <f aca="false">MAX(0,AC42-AC44)*Inputs!$C$25</f>
        <v>2.87000828308897</v>
      </c>
      <c r="AD46" s="57" t="n">
        <f aca="false">MAX(0,AD42-AD44)*Inputs!$C$25</f>
        <v>1.66606463647507</v>
      </c>
    </row>
    <row r="47" customFormat="false" ht="15" hidden="false" customHeight="true" outlineLevel="0" collapsed="false">
      <c r="B47" s="4" t="s">
        <v>725</v>
      </c>
      <c r="C47" s="3" t="s">
        <v>297</v>
      </c>
      <c r="D47" s="59" t="n">
        <f aca="false">SUM(E47:AD47)</f>
        <v>104.468995419467</v>
      </c>
      <c r="E47" s="57" t="n">
        <f aca="false">E16-E36-E27-E64-E41-E46-E49</f>
        <v>-1.57461202057607</v>
      </c>
      <c r="F47" s="57" t="n">
        <f aca="false">F16-F36-F27-F64-F41-F46-F49</f>
        <v>-3.64917200725605</v>
      </c>
      <c r="G47" s="57" t="n">
        <f aca="false">G16-G36-G27-G64-G41-G46-G49</f>
        <v>-3.45705629591583</v>
      </c>
      <c r="H47" s="57" t="n">
        <f aca="false">H16-H36-H27-H64-H41-H46-H49</f>
        <v>-3.12282501380516</v>
      </c>
      <c r="I47" s="57" t="n">
        <f aca="false">I16-I36-I27-I64-I41-I46-I49</f>
        <v>-2.75149425493334</v>
      </c>
      <c r="J47" s="57" t="n">
        <f aca="false">J16-J36-J27-J64-J41-J46-J49</f>
        <v>0.664170550611248</v>
      </c>
      <c r="K47" s="57" t="n">
        <f aca="false">K16-K36-K27-K64-K41-K46-K49</f>
        <v>1.1217707475131</v>
      </c>
      <c r="L47" s="57" t="n">
        <f aca="false">L16-L36-L27-L64-L41-L46-L49</f>
        <v>1.62940019104438</v>
      </c>
      <c r="M47" s="57" t="n">
        <f aca="false">M16-M36-M27-M64-M41-M46-M49</f>
        <v>2.19230402719736</v>
      </c>
      <c r="N47" s="57" t="n">
        <f aca="false">N16-N36-N27-N64-N41-N46-N49</f>
        <v>2.81627817399311</v>
      </c>
      <c r="O47" s="57" t="n">
        <f aca="false">O16-O36-O27-O64-O41-O46-O49</f>
        <v>3.50772715241775</v>
      </c>
      <c r="P47" s="57" t="n">
        <f aca="false">P16-P36-P27-P64-P41-P46-P49</f>
        <v>7.4276213842424</v>
      </c>
      <c r="Q47" s="57" t="n">
        <f aca="false">Q16-Q36-Q27-Q64-Q41-Q46-Q49</f>
        <v>1.48471271664725</v>
      </c>
      <c r="R47" s="57" t="n">
        <f aca="false">R16-R36-R27-R64-R41-R46-R49</f>
        <v>5.29936235914175</v>
      </c>
      <c r="S47" s="57" t="n">
        <f aca="false">S16-S36-S27-S64-S41-S46-S49</f>
        <v>4.60543807350586</v>
      </c>
      <c r="T47" s="57" t="n">
        <f aca="false">T16-T36-T27-T64-T41-T46-T49</f>
        <v>4.6313469969744</v>
      </c>
      <c r="U47" s="57" t="n">
        <f aca="false">U16-U36-U27-U64-U41-U46-U49</f>
        <v>9.00624294460621</v>
      </c>
      <c r="V47" s="57" t="n">
        <f aca="false">V16-V36-V27-V64-V41-V46-V49</f>
        <v>8.91128065590559</v>
      </c>
      <c r="W47" s="57" t="n">
        <f aca="false">W16-W36-W27-W64-W41-W46-W49</f>
        <v>8.83748340616865</v>
      </c>
      <c r="X47" s="57" t="n">
        <f aca="false">X16-X36-X27-X64-X41-X46-X49</f>
        <v>8.77645245931598</v>
      </c>
      <c r="Y47" s="57" t="n">
        <f aca="false">Y16-Y36-Y27-Y64-Y41-Y46-Y49</f>
        <v>8.72314830458193</v>
      </c>
      <c r="Z47" s="57" t="n">
        <f aca="false">Z16-Z36-Z27-Z64-Z41-Z46-Z49</f>
        <v>8.67454696746552</v>
      </c>
      <c r="AA47" s="57" t="n">
        <f aca="false">AA16-AA36-AA27-AA64-AA41-AA46-AA49</f>
        <v>8.62883379629681</v>
      </c>
      <c r="AB47" s="57" t="n">
        <f aca="false">AB16-AB36-AB27-AB64-AB41-AB46-AB49</f>
        <v>8.58491973417232</v>
      </c>
      <c r="AC47" s="57" t="n">
        <f aca="false">AC16-AC36-AC27-AC64-AC41-AC46-AC49</f>
        <v>8.54215108211205</v>
      </c>
      <c r="AD47" s="57" t="n">
        <f aca="false">AD16-AD36-AD27-AD64-AD41-AD46-AD49</f>
        <v>4.95896328804005</v>
      </c>
    </row>
    <row r="48" customFormat="false" ht="15" hidden="false" customHeight="true" outlineLevel="0" collapsed="false">
      <c r="B48" s="21" t="s">
        <v>726</v>
      </c>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row>
    <row r="49" customFormat="false" ht="15" hidden="false" customHeight="true" outlineLevel="0" collapsed="false">
      <c r="B49" s="4" t="s">
        <v>208</v>
      </c>
      <c r="C49" s="3" t="s">
        <v>297</v>
      </c>
      <c r="D49" s="59" t="n">
        <f aca="false">SUM(E49:AD49)</f>
        <v>5.885</v>
      </c>
      <c r="E49" s="57" t="n">
        <f aca="false">IF(E5=Inputs!$C$21,Inputs!$C$6*Inputs!$C$20/10000,0)</f>
        <v>0</v>
      </c>
      <c r="F49" s="57" t="n">
        <f aca="false">IF(F5=Inputs!$C$21,Inputs!$C$6*Inputs!$C$20/10000,0)</f>
        <v>0</v>
      </c>
      <c r="G49" s="57" t="n">
        <f aca="false">IF(G5=Inputs!$C$21,Inputs!$C$6*Inputs!$C$20/10000,0)</f>
        <v>0</v>
      </c>
      <c r="H49" s="57" t="n">
        <f aca="false">IF(H5=Inputs!$C$21,Inputs!$C$6*Inputs!$C$20/10000,0)</f>
        <v>0</v>
      </c>
      <c r="I49" s="57" t="n">
        <f aca="false">IF(I5=Inputs!$C$21,Inputs!$C$6*Inputs!$C$20/10000,0)</f>
        <v>0</v>
      </c>
      <c r="J49" s="57" t="n">
        <f aca="false">IF(J5=Inputs!$C$21,Inputs!$C$6*Inputs!$C$20/10000,0)</f>
        <v>0</v>
      </c>
      <c r="K49" s="57" t="n">
        <f aca="false">IF(K5=Inputs!$C$21,Inputs!$C$6*Inputs!$C$20/10000,0)</f>
        <v>0</v>
      </c>
      <c r="L49" s="57" t="n">
        <f aca="false">IF(L5=Inputs!$C$21,Inputs!$C$6*Inputs!$C$20/10000,0)</f>
        <v>0</v>
      </c>
      <c r="M49" s="57" t="n">
        <f aca="false">IF(M5=Inputs!$C$21,Inputs!$C$6*Inputs!$C$20/10000,0)</f>
        <v>0</v>
      </c>
      <c r="N49" s="57" t="n">
        <f aca="false">IF(N5=Inputs!$C$21,Inputs!$C$6*Inputs!$C$20/10000,0)</f>
        <v>0</v>
      </c>
      <c r="O49" s="57" t="n">
        <f aca="false">IF(O5=Inputs!$C$21,Inputs!$C$6*Inputs!$C$20/10000,0)</f>
        <v>0</v>
      </c>
      <c r="P49" s="57" t="n">
        <f aca="false">IF(P5=Inputs!$C$21,Inputs!$C$6*Inputs!$C$20/10000,0)</f>
        <v>0</v>
      </c>
      <c r="Q49" s="57" t="n">
        <f aca="false">IF(Q5=Inputs!$C$21,Inputs!$C$6*Inputs!$C$20/10000,0)</f>
        <v>5.885</v>
      </c>
      <c r="R49" s="57" t="n">
        <f aca="false">IF(R5=Inputs!$C$21,Inputs!$C$6*Inputs!$C$20/10000,0)</f>
        <v>0</v>
      </c>
      <c r="S49" s="57" t="n">
        <f aca="false">IF(S5=Inputs!$C$21,Inputs!$C$6*Inputs!$C$20/10000,0)</f>
        <v>0</v>
      </c>
      <c r="T49" s="57" t="n">
        <f aca="false">IF(T5=Inputs!$C$21,Inputs!$C$6*Inputs!$C$20/10000,0)</f>
        <v>0</v>
      </c>
      <c r="U49" s="57" t="n">
        <f aca="false">IF(U5=Inputs!$C$21,Inputs!$C$6*Inputs!$C$20/10000,0)</f>
        <v>0</v>
      </c>
      <c r="V49" s="57" t="n">
        <f aca="false">IF(V5=Inputs!$C$21,Inputs!$C$6*Inputs!$C$20/10000,0)</f>
        <v>0</v>
      </c>
      <c r="W49" s="57" t="n">
        <f aca="false">IF(W5=Inputs!$C$21,Inputs!$C$6*Inputs!$C$20/10000,0)</f>
        <v>0</v>
      </c>
      <c r="X49" s="57" t="n">
        <f aca="false">IF(X5=Inputs!$C$21,Inputs!$C$6*Inputs!$C$20/10000,0)</f>
        <v>0</v>
      </c>
      <c r="Y49" s="57" t="n">
        <f aca="false">IF(Y5=Inputs!$C$21,Inputs!$C$6*Inputs!$C$20/10000,0)</f>
        <v>0</v>
      </c>
      <c r="Z49" s="57" t="n">
        <f aca="false">IF(Z5=Inputs!$C$21,Inputs!$C$6*Inputs!$C$20/10000,0)</f>
        <v>0</v>
      </c>
      <c r="AA49" s="57" t="n">
        <f aca="false">IF(AA5=Inputs!$C$21,Inputs!$C$6*Inputs!$C$20/10000,0)</f>
        <v>0</v>
      </c>
      <c r="AB49" s="57" t="n">
        <f aca="false">IF(AB5=Inputs!$C$21,Inputs!$C$6*Inputs!$C$20/10000,0)</f>
        <v>0</v>
      </c>
      <c r="AC49" s="57" t="n">
        <f aca="false">IF(AC5=Inputs!$C$21,Inputs!$C$6*Inputs!$C$20/10000,0)</f>
        <v>0</v>
      </c>
      <c r="AD49" s="57" t="n">
        <f aca="false">IF(AD5=Inputs!$C$21,Inputs!$C$6*Inputs!$C$20/10000,0)</f>
        <v>0</v>
      </c>
    </row>
    <row r="50" customFormat="false" ht="15" hidden="false" customHeight="true" outlineLevel="0" collapsed="false">
      <c r="B50" s="40" t="s">
        <v>727</v>
      </c>
      <c r="C50" s="3" t="s">
        <v>297</v>
      </c>
      <c r="D50" s="59" t="n">
        <f aca="false">SUM(E50:AD50)</f>
        <v>260.491982248655</v>
      </c>
      <c r="E50" s="57" t="n">
        <f aca="false">E16-E46-E49</f>
        <v>5.308</v>
      </c>
      <c r="F50" s="57" t="n">
        <f aca="false">F16-F46-F49</f>
        <v>12.7392</v>
      </c>
      <c r="G50" s="57" t="n">
        <f aca="false">G16-G46-G49</f>
        <v>12.6789232</v>
      </c>
      <c r="H50" s="57" t="n">
        <f aca="false">H16-H46-H49</f>
        <v>12.6188875072</v>
      </c>
      <c r="I50" s="57" t="n">
        <f aca="false">I16-I46-I49</f>
        <v>12.5590919571712</v>
      </c>
      <c r="J50" s="57" t="n">
        <f aca="false">J16-J46-J49</f>
        <v>12.4995355893425</v>
      </c>
      <c r="K50" s="57" t="n">
        <f aca="false">K16-K46-K49</f>
        <v>12.4402174469851</v>
      </c>
      <c r="L50" s="57" t="n">
        <f aca="false">L16-L46-L49</f>
        <v>12.3811365771972</v>
      </c>
      <c r="M50" s="57" t="n">
        <f aca="false">M16-M46-M49</f>
        <v>12.3222920308884</v>
      </c>
      <c r="N50" s="57" t="n">
        <f aca="false">N16-N46-N49</f>
        <v>12.2636828627649</v>
      </c>
      <c r="O50" s="57" t="n">
        <f aca="false">O16-O46-O49</f>
        <v>12.2053081313138</v>
      </c>
      <c r="P50" s="57" t="n">
        <f aca="false">P16-P46-P49</f>
        <v>12.1471668987885</v>
      </c>
      <c r="Q50" s="57" t="n">
        <f aca="false">Q16-Q46-Q49</f>
        <v>6.20425823119339</v>
      </c>
      <c r="R50" s="57" t="n">
        <f aca="false">R16-R46-R49</f>
        <v>10.0189078736879</v>
      </c>
      <c r="S50" s="57" t="n">
        <f aca="false">S16-S46-S49</f>
        <v>9.32498358805201</v>
      </c>
      <c r="T50" s="57" t="n">
        <f aca="false">T16-T46-T49</f>
        <v>9.13636771540481</v>
      </c>
      <c r="U50" s="57" t="n">
        <f aca="false">U16-U46-U49</f>
        <v>9.00624294460621</v>
      </c>
      <c r="V50" s="57" t="n">
        <f aca="false">V16-V46-V49</f>
        <v>8.91128065590559</v>
      </c>
      <c r="W50" s="57" t="n">
        <f aca="false">W16-W46-W49</f>
        <v>8.83748340616865</v>
      </c>
      <c r="X50" s="57" t="n">
        <f aca="false">X16-X46-X49</f>
        <v>8.77645245931598</v>
      </c>
      <c r="Y50" s="57" t="n">
        <f aca="false">Y16-Y46-Y49</f>
        <v>8.72314830458193</v>
      </c>
      <c r="Z50" s="57" t="n">
        <f aca="false">Z16-Z46-Z49</f>
        <v>8.67454696746552</v>
      </c>
      <c r="AA50" s="57" t="n">
        <f aca="false">AA16-AA46-AA49</f>
        <v>8.62883379629681</v>
      </c>
      <c r="AB50" s="57" t="n">
        <f aca="false">AB16-AB46-AB49</f>
        <v>8.58491973417232</v>
      </c>
      <c r="AC50" s="57" t="n">
        <f aca="false">AC16-AC46-AC49</f>
        <v>8.54215108211205</v>
      </c>
      <c r="AD50" s="57" t="n">
        <f aca="false">AD16-AD46-AD49</f>
        <v>4.95896328804005</v>
      </c>
    </row>
    <row r="51" customFormat="false" ht="15" hidden="false" customHeight="true" outlineLevel="0" collapsed="false">
      <c r="B51" s="4" t="s">
        <v>728</v>
      </c>
      <c r="C51" s="3" t="s">
        <v>297</v>
      </c>
      <c r="E51" s="57" t="n">
        <f aca="false">E50-E30</f>
        <v>2.96628331318924</v>
      </c>
      <c r="F51" s="57" t="n">
        <f aca="false">F50-F30</f>
        <v>3.6816836923077</v>
      </c>
      <c r="G51" s="57" t="n">
        <f aca="false">G50-G30</f>
        <v>3.66480618830769</v>
      </c>
      <c r="H51" s="57" t="n">
        <f aca="false">H50-H30</f>
        <v>3.64799619432369</v>
      </c>
      <c r="I51" s="57" t="n">
        <f aca="false">I50-I30</f>
        <v>3.63125344031563</v>
      </c>
      <c r="J51" s="57" t="n">
        <f aca="false">J50-J30</f>
        <v>3.6145776573236</v>
      </c>
      <c r="K51" s="57" t="n">
        <f aca="false">K50-K30</f>
        <v>3.59796857746353</v>
      </c>
      <c r="L51" s="57" t="n">
        <f aca="false">L50-L30</f>
        <v>3.58142593392291</v>
      </c>
      <c r="M51" s="57" t="n">
        <f aca="false">M50-M30</f>
        <v>3.56494946095645</v>
      </c>
      <c r="N51" s="57" t="n">
        <f aca="false">N50-N30</f>
        <v>3.54853889388185</v>
      </c>
      <c r="O51" s="57" t="n">
        <f aca="false">O50-O30</f>
        <v>3.53219396907554</v>
      </c>
      <c r="P51" s="57" t="n">
        <f aca="false">P50-P30</f>
        <v>12.1471668987885</v>
      </c>
      <c r="Q51" s="57" t="n">
        <f aca="false">Q50-Q30</f>
        <v>6.20425823119339</v>
      </c>
      <c r="R51" s="57" t="n">
        <f aca="false">R50-R30</f>
        <v>10.0189078736879</v>
      </c>
      <c r="S51" s="57" t="n">
        <f aca="false">S50-S30</f>
        <v>9.32498358805201</v>
      </c>
      <c r="T51" s="57" t="n">
        <f aca="false">T50-T30</f>
        <v>9.13636771540481</v>
      </c>
      <c r="U51" s="57" t="n">
        <f aca="false">U50-U30</f>
        <v>9.00624294460621</v>
      </c>
      <c r="V51" s="57" t="n">
        <f aca="false">V50-V30</f>
        <v>8.91128065590559</v>
      </c>
      <c r="W51" s="57" t="n">
        <f aca="false">W50-W30</f>
        <v>8.83748340616865</v>
      </c>
      <c r="X51" s="57" t="n">
        <f aca="false">X50-X30</f>
        <v>8.77645245931598</v>
      </c>
      <c r="Y51" s="57" t="n">
        <f aca="false">Y50-Y30</f>
        <v>8.72314830458193</v>
      </c>
      <c r="Z51" s="57" t="n">
        <f aca="false">Z50-Z30</f>
        <v>8.67454696746552</v>
      </c>
      <c r="AA51" s="57" t="n">
        <f aca="false">AA50-AA30</f>
        <v>8.62883379629681</v>
      </c>
      <c r="AB51" s="57" t="n">
        <f aca="false">AB50-AB30</f>
        <v>8.58491973417232</v>
      </c>
      <c r="AC51" s="57" t="n">
        <f aca="false">AC50-AC30</f>
        <v>8.54215108211205</v>
      </c>
      <c r="AD51" s="57" t="n">
        <f aca="false">AD50-AD30</f>
        <v>4.95896328804005</v>
      </c>
    </row>
    <row r="52" customFormat="false" ht="15" hidden="false" customHeight="true" outlineLevel="0" collapsed="false">
      <c r="B52" s="4" t="s">
        <v>729</v>
      </c>
      <c r="C52" s="3" t="s">
        <v>297</v>
      </c>
      <c r="E52" s="57" t="n">
        <f aca="false">IF(Inputs!$C$41=1,Inputs!$C$40/12*F30,0)</f>
        <v>4.52875815384615</v>
      </c>
      <c r="F52" s="57" t="n">
        <f aca="false">IF(Inputs!$C$41=1,Inputs!$C$40/12*G30,0)</f>
        <v>4.50705850584615</v>
      </c>
      <c r="G52" s="57" t="n">
        <f aca="false">IF(Inputs!$C$41=1,Inputs!$C$40/12*H30,0)</f>
        <v>4.48544565643815</v>
      </c>
      <c r="H52" s="57" t="n">
        <f aca="false">IF(Inputs!$C$41=1,Inputs!$C$40/12*I30,0)</f>
        <v>4.46391925842779</v>
      </c>
      <c r="I52" s="57" t="n">
        <f aca="false">IF(Inputs!$C$41=1,Inputs!$C$40/12*J30,0)</f>
        <v>4.44247896600946</v>
      </c>
      <c r="J52" s="57" t="n">
        <f aca="false">IF(Inputs!$C$41=1,Inputs!$C$40/12*K30,0)</f>
        <v>4.42112443476081</v>
      </c>
      <c r="K52" s="57" t="n">
        <f aca="false">IF(Inputs!$C$41=1,Inputs!$C$40/12*L30,0)</f>
        <v>4.39985532163715</v>
      </c>
      <c r="L52" s="57" t="n">
        <f aca="false">IF(Inputs!$C$41=1,Inputs!$C$40/12*M30,0)</f>
        <v>4.37867128496598</v>
      </c>
      <c r="M52" s="57" t="n">
        <f aca="false">IF(Inputs!$C$41=1,Inputs!$C$40/12*N30,0)</f>
        <v>4.3575719844415</v>
      </c>
      <c r="N52" s="57" t="n">
        <f aca="false">IF(Inputs!$C$41=1,Inputs!$C$40/12*O30,0)</f>
        <v>4.33655708111913</v>
      </c>
      <c r="O52" s="57" t="n">
        <f aca="false">IF(Inputs!$C$41=1,Inputs!$C$40/12*P30,0)</f>
        <v>0</v>
      </c>
      <c r="P52" s="57" t="n">
        <f aca="false">IF(Inputs!$C$41=1,Inputs!$C$40/12*Q30,0)</f>
        <v>0</v>
      </c>
      <c r="Q52" s="57" t="n">
        <f aca="false">IF(Inputs!$C$41=1,Inputs!$C$40/12*R30,0)</f>
        <v>0</v>
      </c>
      <c r="R52" s="57" t="n">
        <f aca="false">IF(Inputs!$C$41=1,Inputs!$C$40/12*S30,0)</f>
        <v>0</v>
      </c>
      <c r="S52" s="57" t="n">
        <f aca="false">IF(Inputs!$C$41=1,Inputs!$C$40/12*T30,0)</f>
        <v>0</v>
      </c>
      <c r="T52" s="57" t="n">
        <f aca="false">IF(Inputs!$C$41=1,Inputs!$C$40/12*U30,0)</f>
        <v>0</v>
      </c>
      <c r="U52" s="57" t="n">
        <f aca="false">IF(Inputs!$C$41=1,Inputs!$C$40/12*V30,0)</f>
        <v>0</v>
      </c>
      <c r="V52" s="57" t="n">
        <f aca="false">IF(Inputs!$C$41=1,Inputs!$C$40/12*W30,0)</f>
        <v>0</v>
      </c>
      <c r="W52" s="57" t="n">
        <f aca="false">IF(Inputs!$C$41=1,Inputs!$C$40/12*X30,0)</f>
        <v>0</v>
      </c>
      <c r="X52" s="57" t="n">
        <f aca="false">IF(Inputs!$C$41=1,Inputs!$C$40/12*Y30,0)</f>
        <v>0</v>
      </c>
      <c r="Y52" s="57" t="n">
        <f aca="false">IF(Inputs!$C$41=1,Inputs!$C$40/12*Z30,0)</f>
        <v>0</v>
      </c>
      <c r="Z52" s="57" t="n">
        <f aca="false">IF(Inputs!$C$41=1,Inputs!$C$40/12*AA30,0)</f>
        <v>0</v>
      </c>
      <c r="AA52" s="57" t="n">
        <f aca="false">IF(Inputs!$C$41=1,Inputs!$C$40/12*AB30,0)</f>
        <v>0</v>
      </c>
      <c r="AB52" s="57" t="n">
        <f aca="false">IF(Inputs!$C$41=1,Inputs!$C$40/12*AC30,0)</f>
        <v>0</v>
      </c>
      <c r="AC52" s="57" t="n">
        <f aca="false">IF(Inputs!$C$41=1,Inputs!$C$40/12*AD30,0)</f>
        <v>0</v>
      </c>
      <c r="AD52" s="57" t="n">
        <v>0</v>
      </c>
    </row>
    <row r="53" customFormat="false" ht="15" hidden="false" customHeight="true" outlineLevel="0" collapsed="false">
      <c r="B53" s="4" t="s">
        <v>730</v>
      </c>
      <c r="C53" s="3" t="s">
        <v>297</v>
      </c>
      <c r="E53" s="57" t="n">
        <f aca="false">IF(Inputs!$C$110=1,E52,0)</f>
        <v>0</v>
      </c>
      <c r="F53" s="57" t="n">
        <f aca="false">E56</f>
        <v>2.96628331318924</v>
      </c>
      <c r="G53" s="57" t="n">
        <f aca="false">F56</f>
        <v>4.50705850584615</v>
      </c>
      <c r="H53" s="57" t="n">
        <f aca="false">G56</f>
        <v>4.48544565643815</v>
      </c>
      <c r="I53" s="57" t="n">
        <f aca="false">H56</f>
        <v>4.46391925842779</v>
      </c>
      <c r="J53" s="57" t="n">
        <f aca="false">I56</f>
        <v>4.44247896600946</v>
      </c>
      <c r="K53" s="57" t="n">
        <f aca="false">J56</f>
        <v>4.42112443476081</v>
      </c>
      <c r="L53" s="57" t="n">
        <f aca="false">K56</f>
        <v>4.39985532163715</v>
      </c>
      <c r="M53" s="57" t="n">
        <f aca="false">L56</f>
        <v>4.37867128496598</v>
      </c>
      <c r="N53" s="57" t="n">
        <f aca="false">M56</f>
        <v>4.3575719844415</v>
      </c>
      <c r="O53" s="57" t="n">
        <f aca="false">N56</f>
        <v>4.33655708111913</v>
      </c>
      <c r="P53" s="57" t="n">
        <f aca="false">O56</f>
        <v>0</v>
      </c>
      <c r="Q53" s="57" t="n">
        <f aca="false">P56</f>
        <v>0</v>
      </c>
      <c r="R53" s="57" t="n">
        <f aca="false">Q56</f>
        <v>0</v>
      </c>
      <c r="S53" s="57" t="n">
        <f aca="false">R56</f>
        <v>0</v>
      </c>
      <c r="T53" s="57" t="n">
        <f aca="false">S56</f>
        <v>0</v>
      </c>
      <c r="U53" s="57" t="n">
        <f aca="false">T56</f>
        <v>0</v>
      </c>
      <c r="V53" s="57" t="n">
        <f aca="false">U56</f>
        <v>0</v>
      </c>
      <c r="W53" s="57" t="n">
        <f aca="false">V56</f>
        <v>0</v>
      </c>
      <c r="X53" s="57" t="n">
        <f aca="false">W56</f>
        <v>0</v>
      </c>
      <c r="Y53" s="57" t="n">
        <f aca="false">X56</f>
        <v>0</v>
      </c>
      <c r="Z53" s="57" t="n">
        <f aca="false">Y56</f>
        <v>0</v>
      </c>
      <c r="AA53" s="57" t="n">
        <f aca="false">Z56</f>
        <v>0</v>
      </c>
      <c r="AB53" s="57" t="n">
        <f aca="false">AA56</f>
        <v>0</v>
      </c>
      <c r="AC53" s="57" t="n">
        <f aca="false">AB56</f>
        <v>0</v>
      </c>
      <c r="AD53" s="57" t="n">
        <f aca="false">AC56</f>
        <v>0</v>
      </c>
    </row>
    <row r="54" customFormat="false" ht="15" hidden="false" customHeight="true" outlineLevel="0" collapsed="false">
      <c r="B54" s="4" t="s">
        <v>731</v>
      </c>
      <c r="C54" s="3" t="s">
        <v>297</v>
      </c>
      <c r="D54" s="59" t="n">
        <f aca="false">SUM(E54:AD54)</f>
        <v>4.50705850584615</v>
      </c>
      <c r="E54" s="57" t="n">
        <f aca="false">MIN(MAX(E51,0),MAX(0,E52-E53))</f>
        <v>2.96628331318924</v>
      </c>
      <c r="F54" s="57" t="n">
        <f aca="false">MIN(MAX(F51,0),MAX(0,F52-F53))</f>
        <v>1.54077519265692</v>
      </c>
      <c r="G54" s="57" t="n">
        <f aca="false">MIN(MAX(G51,0),MAX(0,G52-G53))</f>
        <v>0</v>
      </c>
      <c r="H54" s="57" t="n">
        <f aca="false">MIN(MAX(H51,0),MAX(0,H52-H53))</f>
        <v>0</v>
      </c>
      <c r="I54" s="57" t="n">
        <f aca="false">MIN(MAX(I51,0),MAX(0,I52-I53))</f>
        <v>0</v>
      </c>
      <c r="J54" s="57" t="n">
        <f aca="false">MIN(MAX(J51,0),MAX(0,J52-J53))</f>
        <v>0</v>
      </c>
      <c r="K54" s="57" t="n">
        <f aca="false">MIN(MAX(K51,0),MAX(0,K52-K53))</f>
        <v>0</v>
      </c>
      <c r="L54" s="57" t="n">
        <f aca="false">MIN(MAX(L51,0),MAX(0,L52-L53))</f>
        <v>0</v>
      </c>
      <c r="M54" s="57" t="n">
        <f aca="false">MIN(MAX(M51,0),MAX(0,M52-M53))</f>
        <v>0</v>
      </c>
      <c r="N54" s="57" t="n">
        <f aca="false">MIN(MAX(N51,0),MAX(0,N52-N53))</f>
        <v>0</v>
      </c>
      <c r="O54" s="57" t="n">
        <f aca="false">MIN(MAX(O51,0),MAX(0,O52-O53))</f>
        <v>0</v>
      </c>
      <c r="P54" s="57" t="n">
        <f aca="false">MIN(MAX(P51,0),MAX(0,P52-P53))</f>
        <v>0</v>
      </c>
      <c r="Q54" s="57" t="n">
        <f aca="false">MIN(MAX(Q51,0),MAX(0,Q52-Q53))</f>
        <v>0</v>
      </c>
      <c r="R54" s="57" t="n">
        <f aca="false">MIN(MAX(R51,0),MAX(0,R52-R53))</f>
        <v>0</v>
      </c>
      <c r="S54" s="57" t="n">
        <f aca="false">MIN(MAX(S51,0),MAX(0,S52-S53))</f>
        <v>0</v>
      </c>
      <c r="T54" s="57" t="n">
        <f aca="false">MIN(MAX(T51,0),MAX(0,T52-T53))</f>
        <v>0</v>
      </c>
      <c r="U54" s="57" t="n">
        <f aca="false">MIN(MAX(U51,0),MAX(0,U52-U53))</f>
        <v>0</v>
      </c>
      <c r="V54" s="57" t="n">
        <f aca="false">MIN(MAX(V51,0),MAX(0,V52-V53))</f>
        <v>0</v>
      </c>
      <c r="W54" s="57" t="n">
        <f aca="false">MIN(MAX(W51,0),MAX(0,W52-W53))</f>
        <v>0</v>
      </c>
      <c r="X54" s="57" t="n">
        <f aca="false">MIN(MAX(X51,0),MAX(0,X52-X53))</f>
        <v>0</v>
      </c>
      <c r="Y54" s="57" t="n">
        <f aca="false">MIN(MAX(Y51,0),MAX(0,Y52-Y53))</f>
        <v>0</v>
      </c>
      <c r="Z54" s="57" t="n">
        <f aca="false">MIN(MAX(Z51,0),MAX(0,Z52-Z53))</f>
        <v>0</v>
      </c>
      <c r="AA54" s="57" t="n">
        <f aca="false">MIN(MAX(AA51,0),MAX(0,AA52-AA53))</f>
        <v>0</v>
      </c>
      <c r="AB54" s="57" t="n">
        <f aca="false">MIN(MAX(AB51,0),MAX(0,AB52-AB53))</f>
        <v>0</v>
      </c>
      <c r="AC54" s="57" t="n">
        <f aca="false">MIN(MAX(AC51,0),MAX(0,AC52-AC53))</f>
        <v>0</v>
      </c>
      <c r="AD54" s="57" t="n">
        <f aca="false">MIN(MAX(AD51,0),MAX(0,AD52-AD53))</f>
        <v>0</v>
      </c>
    </row>
    <row r="55" customFormat="false" ht="15" hidden="false" customHeight="true" outlineLevel="0" collapsed="false">
      <c r="B55" s="4" t="s">
        <v>732</v>
      </c>
      <c r="C55" s="3" t="s">
        <v>297</v>
      </c>
      <c r="D55" s="59" t="n">
        <f aca="false">SUM(E55:AD55)</f>
        <v>4.50705850584615</v>
      </c>
      <c r="E55" s="57" t="n">
        <f aca="false">MAX(0,E53-E52)</f>
        <v>0</v>
      </c>
      <c r="F55" s="57" t="n">
        <f aca="false">MAX(0,F53-F52)</f>
        <v>0</v>
      </c>
      <c r="G55" s="57" t="n">
        <f aca="false">MAX(0,G53-G52)</f>
        <v>0.021612849408001</v>
      </c>
      <c r="H55" s="57" t="n">
        <f aca="false">MAX(0,H53-H52)</f>
        <v>0.0215263980103684</v>
      </c>
      <c r="I55" s="57" t="n">
        <f aca="false">MAX(0,I53-I52)</f>
        <v>0.021440292418327</v>
      </c>
      <c r="J55" s="57" t="n">
        <f aca="false">MAX(0,J53-J52)</f>
        <v>0.0213545312486527</v>
      </c>
      <c r="K55" s="57" t="n">
        <f aca="false">MAX(0,K53-K52)</f>
        <v>0.0212691131236573</v>
      </c>
      <c r="L55" s="57" t="n">
        <f aca="false">MAX(0,L53-L52)</f>
        <v>0.0211840366711655</v>
      </c>
      <c r="M55" s="57" t="n">
        <f aca="false">MAX(0,M53-M52)</f>
        <v>0.0210993005244777</v>
      </c>
      <c r="N55" s="57" t="n">
        <f aca="false">MAX(0,N53-N52)</f>
        <v>0.0210149033223717</v>
      </c>
      <c r="O55" s="57" t="n">
        <f aca="false">MAX(0,O53-O52)</f>
        <v>4.33655708111913</v>
      </c>
      <c r="P55" s="57" t="n">
        <f aca="false">MAX(0,P53-P52)</f>
        <v>0</v>
      </c>
      <c r="Q55" s="57" t="n">
        <f aca="false">MAX(0,Q53-Q52)</f>
        <v>0</v>
      </c>
      <c r="R55" s="57" t="n">
        <f aca="false">MAX(0,R53-R52)</f>
        <v>0</v>
      </c>
      <c r="S55" s="57" t="n">
        <f aca="false">MAX(0,S53-S52)</f>
        <v>0</v>
      </c>
      <c r="T55" s="57" t="n">
        <f aca="false">MAX(0,T53-T52)</f>
        <v>0</v>
      </c>
      <c r="U55" s="57" t="n">
        <f aca="false">MAX(0,U53-U52)</f>
        <v>0</v>
      </c>
      <c r="V55" s="57" t="n">
        <f aca="false">MAX(0,V53-V52)</f>
        <v>0</v>
      </c>
      <c r="W55" s="57" t="n">
        <f aca="false">MAX(0,W53-W52)</f>
        <v>0</v>
      </c>
      <c r="X55" s="57" t="n">
        <f aca="false">MAX(0,X53-X52)</f>
        <v>0</v>
      </c>
      <c r="Y55" s="57" t="n">
        <f aca="false">MAX(0,Y53-Y52)</f>
        <v>0</v>
      </c>
      <c r="Z55" s="57" t="n">
        <f aca="false">MAX(0,Z53-Z52)</f>
        <v>0</v>
      </c>
      <c r="AA55" s="57" t="n">
        <f aca="false">MAX(0,AA53-AA52)</f>
        <v>0</v>
      </c>
      <c r="AB55" s="57" t="n">
        <f aca="false">MAX(0,AB53-AB52)</f>
        <v>0</v>
      </c>
      <c r="AC55" s="57" t="n">
        <f aca="false">MAX(0,AC53-AC52)</f>
        <v>0</v>
      </c>
      <c r="AD55" s="57" t="n">
        <f aca="false">MAX(0,AD53-AD52)</f>
        <v>0</v>
      </c>
    </row>
    <row r="56" customFormat="false" ht="15" hidden="false" customHeight="true" outlineLevel="0" collapsed="false">
      <c r="B56" s="4" t="s">
        <v>733</v>
      </c>
      <c r="C56" s="3" t="s">
        <v>297</v>
      </c>
      <c r="E56" s="57" t="n">
        <f aca="false">E53+E54-E55</f>
        <v>2.96628331318924</v>
      </c>
      <c r="F56" s="57" t="n">
        <f aca="false">F53+F54-F55</f>
        <v>4.50705850584615</v>
      </c>
      <c r="G56" s="57" t="n">
        <f aca="false">G53+G54-G55</f>
        <v>4.48544565643815</v>
      </c>
      <c r="H56" s="57" t="n">
        <f aca="false">H53+H54-H55</f>
        <v>4.46391925842779</v>
      </c>
      <c r="I56" s="57" t="n">
        <f aca="false">I53+I54-I55</f>
        <v>4.44247896600946</v>
      </c>
      <c r="J56" s="57" t="n">
        <f aca="false">J53+J54-J55</f>
        <v>4.42112443476081</v>
      </c>
      <c r="K56" s="57" t="n">
        <f aca="false">K53+K54-K55</f>
        <v>4.39985532163715</v>
      </c>
      <c r="L56" s="57" t="n">
        <f aca="false">L53+L54-L55</f>
        <v>4.37867128496598</v>
      </c>
      <c r="M56" s="57" t="n">
        <f aca="false">M53+M54-M55</f>
        <v>4.3575719844415</v>
      </c>
      <c r="N56" s="57" t="n">
        <f aca="false">N53+N54-N55</f>
        <v>4.33655708111913</v>
      </c>
      <c r="O56" s="57" t="n">
        <f aca="false">O53+O54-O55</f>
        <v>0</v>
      </c>
      <c r="P56" s="57" t="n">
        <f aca="false">P53+P54-P55</f>
        <v>0</v>
      </c>
      <c r="Q56" s="57" t="n">
        <f aca="false">Q53+Q54-Q55</f>
        <v>0</v>
      </c>
      <c r="R56" s="57" t="n">
        <f aca="false">R53+R54-R55</f>
        <v>0</v>
      </c>
      <c r="S56" s="57" t="n">
        <f aca="false">S53+S54-S55</f>
        <v>0</v>
      </c>
      <c r="T56" s="57" t="n">
        <f aca="false">T53+T54-T55</f>
        <v>0</v>
      </c>
      <c r="U56" s="57" t="n">
        <f aca="false">U53+U54-U55</f>
        <v>0</v>
      </c>
      <c r="V56" s="57" t="n">
        <f aca="false">V53+V54-V55</f>
        <v>0</v>
      </c>
      <c r="W56" s="57" t="n">
        <f aca="false">W53+W54-W55</f>
        <v>0</v>
      </c>
      <c r="X56" s="57" t="n">
        <f aca="false">X53+X54-X55</f>
        <v>0</v>
      </c>
      <c r="Y56" s="57" t="n">
        <f aca="false">Y53+Y54-Y55</f>
        <v>0</v>
      </c>
      <c r="Z56" s="57" t="n">
        <f aca="false">Z53+Z54-Z55</f>
        <v>0</v>
      </c>
      <c r="AA56" s="57" t="n">
        <f aca="false">AA53+AA54-AA55</f>
        <v>0</v>
      </c>
      <c r="AB56" s="57" t="n">
        <f aca="false">AB53+AB54-AB55</f>
        <v>0</v>
      </c>
      <c r="AC56" s="57" t="n">
        <f aca="false">AC53+AC54-AC55</f>
        <v>0</v>
      </c>
      <c r="AD56" s="57" t="n">
        <f aca="false">AD53+AD54-AD55</f>
        <v>0</v>
      </c>
    </row>
    <row r="57" customFormat="false" ht="15" hidden="false" customHeight="true" outlineLevel="0" collapsed="false">
      <c r="B57" s="4" t="s">
        <v>734</v>
      </c>
      <c r="C57" s="3" t="s">
        <v>297</v>
      </c>
      <c r="D57" s="59" t="n">
        <f aca="false">SUM(E57:AD57)</f>
        <v>169.50738426686</v>
      </c>
      <c r="E57" s="57" t="n">
        <f aca="false">E51-E54+E55-E41</f>
        <v>0</v>
      </c>
      <c r="F57" s="57" t="n">
        <f aca="false">F51-F54+F55-F41</f>
        <v>2.14090849965078</v>
      </c>
      <c r="G57" s="57" t="n">
        <f aca="false">G51-G54+G55-G41</f>
        <v>3.68641903771569</v>
      </c>
      <c r="H57" s="57" t="n">
        <f aca="false">H51-H54+H55-H41</f>
        <v>3.66952259233406</v>
      </c>
      <c r="I57" s="57" t="n">
        <f aca="false">I51-I54+I55-I41</f>
        <v>3.65269373273396</v>
      </c>
      <c r="J57" s="57" t="n">
        <f aca="false">J51-J54+J55-J41</f>
        <v>3.63593218857225</v>
      </c>
      <c r="K57" s="57" t="n">
        <f aca="false">K51-K54+K55-K41</f>
        <v>3.61923769058719</v>
      </c>
      <c r="L57" s="57" t="n">
        <f aca="false">L51-L54+L55-L41</f>
        <v>3.60260997059408</v>
      </c>
      <c r="M57" s="57" t="n">
        <f aca="false">M51-M54+M55-M41</f>
        <v>3.58604876148093</v>
      </c>
      <c r="N57" s="57" t="n">
        <f aca="false">N51-N54+N55-N41</f>
        <v>3.56955379720422</v>
      </c>
      <c r="O57" s="57" t="n">
        <f aca="false">O51-O54+O55-O41</f>
        <v>7.86875105019467</v>
      </c>
      <c r="P57" s="57" t="n">
        <f aca="false">P51-P54+P55-P41</f>
        <v>12.1471668987885</v>
      </c>
      <c r="Q57" s="57" t="n">
        <f aca="false">Q51-Q54+Q55-Q41</f>
        <v>6.20425823119339</v>
      </c>
      <c r="R57" s="57" t="n">
        <f aca="false">R51-R54+R55-R41</f>
        <v>10.0189078736879</v>
      </c>
      <c r="S57" s="57" t="n">
        <f aca="false">S51-S54+S55-S41</f>
        <v>9.32498358805201</v>
      </c>
      <c r="T57" s="57" t="n">
        <f aca="false">T51-T54+T55-T41</f>
        <v>9.13636771540481</v>
      </c>
      <c r="U57" s="57" t="n">
        <f aca="false">U51-U54+U55-U41</f>
        <v>9.00624294460621</v>
      </c>
      <c r="V57" s="57" t="n">
        <f aca="false">V51-V54+V55-V41</f>
        <v>8.91128065590559</v>
      </c>
      <c r="W57" s="57" t="n">
        <f aca="false">W51-W54+W55-W41</f>
        <v>8.83748340616865</v>
      </c>
      <c r="X57" s="57" t="n">
        <f aca="false">X51-X54+X55-X41</f>
        <v>8.77645245931598</v>
      </c>
      <c r="Y57" s="57" t="n">
        <f aca="false">Y51-Y54+Y55-Y41</f>
        <v>8.72314830458193</v>
      </c>
      <c r="Z57" s="57" t="n">
        <f aca="false">Z51-Z54+Z55-Z41</f>
        <v>8.67454696746552</v>
      </c>
      <c r="AA57" s="57" t="n">
        <f aca="false">AA51-AA54+AA55-AA41</f>
        <v>8.62883379629681</v>
      </c>
      <c r="AB57" s="57" t="n">
        <f aca="false">AB51-AB54+AB55-AB41</f>
        <v>8.58491973417232</v>
      </c>
      <c r="AC57" s="57" t="n">
        <f aca="false">AC51-AC54+AC55-AC41</f>
        <v>8.54215108211205</v>
      </c>
      <c r="AD57" s="57" t="n">
        <f aca="false">AD51-AD54+AD55-AD41</f>
        <v>4.95896328804005</v>
      </c>
    </row>
    <row r="58" customFormat="false" ht="15" hidden="false" customHeight="true" outlineLevel="0" collapsed="false">
      <c r="B58" s="4" t="s">
        <v>735</v>
      </c>
      <c r="C58" s="3" t="s">
        <v>297</v>
      </c>
      <c r="E58" s="57" t="n">
        <v>0</v>
      </c>
      <c r="F58" s="57" t="n">
        <f aca="false">E81</f>
        <v>0</v>
      </c>
      <c r="G58" s="57" t="n">
        <f aca="false">F81</f>
        <v>0</v>
      </c>
      <c r="H58" s="57" t="n">
        <f aca="false">G81</f>
        <v>0.532525643080741</v>
      </c>
      <c r="I58" s="57" t="n">
        <f aca="false">H81</f>
        <v>1.04815484077985</v>
      </c>
      <c r="J58" s="57" t="n">
        <f aca="false">I81</f>
        <v>1.54695517887885</v>
      </c>
      <c r="K58" s="57" t="n">
        <f aca="false">J81</f>
        <v>2.02899397281615</v>
      </c>
      <c r="L58" s="57" t="n">
        <f aca="false">K81</f>
        <v>2.49433826876839</v>
      </c>
      <c r="M58" s="57" t="n">
        <f aca="false">L81</f>
        <v>2.94305484472751</v>
      </c>
      <c r="N58" s="57" t="n">
        <f aca="false">M81</f>
        <v>3.37521021157349</v>
      </c>
      <c r="O58" s="57" t="n">
        <f aca="false">N81</f>
        <v>3.79087061414276</v>
      </c>
      <c r="P58" s="57" t="n">
        <f aca="false">O81</f>
        <v>8.50572826970247</v>
      </c>
      <c r="Q58" s="57" t="n">
        <f aca="false">P81</f>
        <v>0</v>
      </c>
      <c r="R58" s="57" t="n">
        <f aca="false">Q81</f>
        <v>0</v>
      </c>
      <c r="S58" s="57" t="n">
        <f aca="false">R81</f>
        <v>0</v>
      </c>
      <c r="T58" s="57" t="n">
        <f aca="false">S81</f>
        <v>0</v>
      </c>
      <c r="U58" s="57" t="n">
        <f aca="false">T81</f>
        <v>0</v>
      </c>
      <c r="V58" s="57" t="n">
        <f aca="false">U81</f>
        <v>0</v>
      </c>
      <c r="W58" s="57" t="n">
        <f aca="false">V81</f>
        <v>0</v>
      </c>
      <c r="X58" s="57" t="n">
        <f aca="false">W81</f>
        <v>0</v>
      </c>
      <c r="Y58" s="57" t="n">
        <f aca="false">X81</f>
        <v>0</v>
      </c>
      <c r="Z58" s="57" t="n">
        <f aca="false">Y81</f>
        <v>0</v>
      </c>
      <c r="AA58" s="57" t="n">
        <f aca="false">Z81</f>
        <v>0</v>
      </c>
      <c r="AB58" s="57" t="n">
        <f aca="false">AA81</f>
        <v>0</v>
      </c>
      <c r="AC58" s="57" t="n">
        <f aca="false">AB81</f>
        <v>0</v>
      </c>
      <c r="AD58" s="57" t="n">
        <f aca="false">AC81</f>
        <v>0</v>
      </c>
    </row>
    <row r="59" customFormat="false" ht="15" hidden="false" customHeight="true" outlineLevel="0" collapsed="false">
      <c r="B59" s="40" t="s">
        <v>736</v>
      </c>
      <c r="C59" s="3" t="s">
        <v>297</v>
      </c>
      <c r="E59" s="57" t="n">
        <f aca="false">E57+E58</f>
        <v>0</v>
      </c>
      <c r="F59" s="57" t="n">
        <f aca="false">F57+F58</f>
        <v>2.14090849965078</v>
      </c>
      <c r="G59" s="57" t="n">
        <f aca="false">G57+G58</f>
        <v>3.68641903771569</v>
      </c>
      <c r="H59" s="57" t="n">
        <f aca="false">H57+H58</f>
        <v>4.2020482354148</v>
      </c>
      <c r="I59" s="57" t="n">
        <f aca="false">I57+I58</f>
        <v>4.70084857351381</v>
      </c>
      <c r="J59" s="57" t="n">
        <f aca="false">J57+J58</f>
        <v>5.18288736745111</v>
      </c>
      <c r="K59" s="57" t="n">
        <f aca="false">K57+K58</f>
        <v>5.64823166340334</v>
      </c>
      <c r="L59" s="57" t="n">
        <f aca="false">L57+L58</f>
        <v>6.09694823936247</v>
      </c>
      <c r="M59" s="57" t="n">
        <f aca="false">M57+M58</f>
        <v>6.52910360620844</v>
      </c>
      <c r="N59" s="57" t="n">
        <f aca="false">N57+N58</f>
        <v>6.94476400877771</v>
      </c>
      <c r="O59" s="57" t="n">
        <f aca="false">O57+O58</f>
        <v>11.6596216643374</v>
      </c>
      <c r="P59" s="57" t="n">
        <f aca="false">P57+P58</f>
        <v>20.652895168491</v>
      </c>
      <c r="Q59" s="57" t="n">
        <f aca="false">Q57+Q58</f>
        <v>6.20425823119339</v>
      </c>
      <c r="R59" s="57" t="n">
        <f aca="false">R57+R58</f>
        <v>10.0189078736879</v>
      </c>
      <c r="S59" s="57" t="n">
        <f aca="false">S57+S58</f>
        <v>9.32498358805201</v>
      </c>
      <c r="T59" s="57" t="n">
        <f aca="false">T57+T58</f>
        <v>9.13636771540481</v>
      </c>
      <c r="U59" s="57" t="n">
        <f aca="false">U57+U58</f>
        <v>9.00624294460621</v>
      </c>
      <c r="V59" s="57" t="n">
        <f aca="false">V57+V58</f>
        <v>8.91128065590559</v>
      </c>
      <c r="W59" s="57" t="n">
        <f aca="false">W57+W58</f>
        <v>8.83748340616865</v>
      </c>
      <c r="X59" s="57" t="n">
        <f aca="false">X57+X58</f>
        <v>8.77645245931598</v>
      </c>
      <c r="Y59" s="57" t="n">
        <f aca="false">Y57+Y58</f>
        <v>8.72314830458193</v>
      </c>
      <c r="Z59" s="57" t="n">
        <f aca="false">Z57+Z58</f>
        <v>8.67454696746552</v>
      </c>
      <c r="AA59" s="57" t="n">
        <f aca="false">AA57+AA58</f>
        <v>8.62883379629681</v>
      </c>
      <c r="AB59" s="57" t="n">
        <f aca="false">AB57+AB58</f>
        <v>8.58491973417232</v>
      </c>
      <c r="AC59" s="57" t="n">
        <f aca="false">AC57+AC58</f>
        <v>8.54215108211205</v>
      </c>
      <c r="AD59" s="57" t="n">
        <f aca="false">AD57+AD58</f>
        <v>4.95896328804005</v>
      </c>
    </row>
    <row r="60" customFormat="false" ht="15" hidden="false" customHeight="true" outlineLevel="0" collapsed="false">
      <c r="B60" s="21" t="s">
        <v>737</v>
      </c>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row>
    <row r="61" customFormat="false" ht="15" hidden="false" customHeight="true" outlineLevel="0" collapsed="false">
      <c r="B61" s="4" t="s">
        <v>738</v>
      </c>
      <c r="C61" s="3" t="s">
        <v>297</v>
      </c>
      <c r="D61" s="59" t="n">
        <f aca="false">SUM(E61:AD61)</f>
        <v>8.2299948407357</v>
      </c>
      <c r="E61" s="57" t="n">
        <f aca="false">'Sources &amp; Uses'!$C$31+'Sources &amp; Uses'!$C$37+'Sources &amp; Uses'!$C$40</f>
        <v>8.2299948407357</v>
      </c>
      <c r="F61" s="57" t="n">
        <v>0</v>
      </c>
      <c r="G61" s="57" t="n">
        <v>0</v>
      </c>
      <c r="H61" s="57" t="n">
        <v>0</v>
      </c>
      <c r="I61" s="57" t="n">
        <v>0</v>
      </c>
      <c r="J61" s="57" t="n">
        <v>0</v>
      </c>
      <c r="K61" s="57" t="n">
        <v>0</v>
      </c>
      <c r="L61" s="57" t="n">
        <v>0</v>
      </c>
      <c r="M61" s="57" t="n">
        <v>0</v>
      </c>
      <c r="N61" s="57" t="n">
        <v>0</v>
      </c>
      <c r="O61" s="57" t="n">
        <v>0</v>
      </c>
      <c r="P61" s="57" t="n">
        <v>0</v>
      </c>
      <c r="Q61" s="57" t="n">
        <v>0</v>
      </c>
      <c r="R61" s="57" t="n">
        <v>0</v>
      </c>
      <c r="S61" s="57" t="n">
        <v>0</v>
      </c>
      <c r="T61" s="57" t="n">
        <v>0</v>
      </c>
      <c r="U61" s="57" t="n">
        <v>0</v>
      </c>
      <c r="V61" s="57" t="n">
        <v>0</v>
      </c>
      <c r="W61" s="57" t="n">
        <v>0</v>
      </c>
      <c r="X61" s="57" t="n">
        <v>0</v>
      </c>
      <c r="Y61" s="57" t="n">
        <v>0</v>
      </c>
      <c r="Z61" s="57" t="n">
        <v>0</v>
      </c>
      <c r="AA61" s="57" t="n">
        <v>0</v>
      </c>
      <c r="AB61" s="57" t="n">
        <v>0</v>
      </c>
      <c r="AC61" s="57" t="n">
        <v>0</v>
      </c>
      <c r="AD61" s="57" t="n">
        <v>0</v>
      </c>
    </row>
    <row r="62" customFormat="false" ht="15" hidden="false" customHeight="true" outlineLevel="0" collapsed="false">
      <c r="B62" s="4" t="s">
        <v>739</v>
      </c>
      <c r="C62" s="3" t="s">
        <v>297</v>
      </c>
      <c r="E62" s="57" t="n">
        <v>0</v>
      </c>
      <c r="F62" s="57" t="n">
        <f aca="false">E74</f>
        <v>25.3779941561983</v>
      </c>
      <c r="G62" s="57" t="n">
        <f aca="false">F74</f>
        <v>26.2824449552913</v>
      </c>
      <c r="H62" s="57" t="n">
        <f aca="false">G74</f>
        <v>26.2824449552913</v>
      </c>
      <c r="I62" s="57" t="n">
        <f aca="false">H74</f>
        <v>26.2824449552913</v>
      </c>
      <c r="J62" s="57" t="n">
        <f aca="false">I74</f>
        <v>26.2824449552913</v>
      </c>
      <c r="K62" s="57" t="n">
        <f aca="false">J74</f>
        <v>26.2824449552913</v>
      </c>
      <c r="L62" s="57" t="n">
        <f aca="false">K74</f>
        <v>26.2824449552913</v>
      </c>
      <c r="M62" s="57" t="n">
        <f aca="false">L74</f>
        <v>26.2824449552913</v>
      </c>
      <c r="N62" s="57" t="n">
        <f aca="false">M74</f>
        <v>26.2824449552913</v>
      </c>
      <c r="O62" s="57" t="n">
        <f aca="false">N74</f>
        <v>26.2824449552913</v>
      </c>
      <c r="P62" s="57" t="n">
        <f aca="false">O74</f>
        <v>0</v>
      </c>
      <c r="Q62" s="57" t="n">
        <f aca="false">P74</f>
        <v>0</v>
      </c>
      <c r="R62" s="57" t="n">
        <f aca="false">Q74</f>
        <v>0</v>
      </c>
      <c r="S62" s="57" t="n">
        <f aca="false">R74</f>
        <v>0</v>
      </c>
      <c r="T62" s="57" t="n">
        <f aca="false">S74</f>
        <v>0</v>
      </c>
      <c r="U62" s="57" t="n">
        <f aca="false">T74</f>
        <v>0</v>
      </c>
      <c r="V62" s="57" t="n">
        <f aca="false">U74</f>
        <v>0</v>
      </c>
      <c r="W62" s="57" t="n">
        <f aca="false">V74</f>
        <v>0</v>
      </c>
      <c r="X62" s="57" t="n">
        <f aca="false">W74</f>
        <v>0</v>
      </c>
      <c r="Y62" s="57" t="n">
        <f aca="false">X74</f>
        <v>0</v>
      </c>
      <c r="Z62" s="57" t="n">
        <f aca="false">Y74</f>
        <v>0</v>
      </c>
      <c r="AA62" s="57" t="n">
        <f aca="false">Z74</f>
        <v>0</v>
      </c>
      <c r="AB62" s="57" t="n">
        <f aca="false">AA74</f>
        <v>0</v>
      </c>
      <c r="AC62" s="57" t="n">
        <f aca="false">AB74</f>
        <v>0</v>
      </c>
      <c r="AD62" s="57" t="n">
        <f aca="false">AC74</f>
        <v>0</v>
      </c>
    </row>
    <row r="63" customFormat="false" ht="15" hidden="false" customHeight="true" outlineLevel="0" collapsed="false">
      <c r="B63" s="4" t="s">
        <v>740</v>
      </c>
      <c r="C63" s="3" t="s">
        <v>297</v>
      </c>
      <c r="D63" s="59" t="n">
        <f aca="false">SUM(E63:AD63)</f>
        <v>24.054970764169</v>
      </c>
      <c r="E63" s="57" t="n">
        <f aca="false">'Sources &amp; Uses'!$C$32</f>
        <v>24.054970764169</v>
      </c>
      <c r="F63" s="57" t="n">
        <v>0</v>
      </c>
      <c r="G63" s="57" t="n">
        <v>0</v>
      </c>
      <c r="H63" s="57" t="n">
        <v>0</v>
      </c>
      <c r="I63" s="57" t="n">
        <v>0</v>
      </c>
      <c r="J63" s="57" t="n">
        <v>0</v>
      </c>
      <c r="K63" s="57" t="n">
        <v>0</v>
      </c>
      <c r="L63" s="57" t="n">
        <v>0</v>
      </c>
      <c r="M63" s="57" t="n">
        <v>0</v>
      </c>
      <c r="N63" s="57" t="n">
        <v>0</v>
      </c>
      <c r="O63" s="57" t="n">
        <v>0</v>
      </c>
      <c r="P63" s="57" t="n">
        <v>0</v>
      </c>
      <c r="Q63" s="57" t="n">
        <v>0</v>
      </c>
      <c r="R63" s="57" t="n">
        <v>0</v>
      </c>
      <c r="S63" s="57" t="n">
        <v>0</v>
      </c>
      <c r="T63" s="57" t="n">
        <v>0</v>
      </c>
      <c r="U63" s="57" t="n">
        <v>0</v>
      </c>
      <c r="V63" s="57" t="n">
        <v>0</v>
      </c>
      <c r="W63" s="57" t="n">
        <v>0</v>
      </c>
      <c r="X63" s="57" t="n">
        <v>0</v>
      </c>
      <c r="Y63" s="57" t="n">
        <v>0</v>
      </c>
      <c r="Z63" s="57" t="n">
        <v>0</v>
      </c>
      <c r="AA63" s="57" t="n">
        <v>0</v>
      </c>
      <c r="AB63" s="57" t="n">
        <v>0</v>
      </c>
      <c r="AC63" s="57" t="n">
        <v>0</v>
      </c>
      <c r="AD63" s="57" t="n">
        <v>0</v>
      </c>
    </row>
    <row r="64" customFormat="false" ht="15" hidden="false" customHeight="true" outlineLevel="0" collapsed="false">
      <c r="B64" s="4" t="s">
        <v>741</v>
      </c>
      <c r="C64" s="3" t="s">
        <v>297</v>
      </c>
      <c r="D64" s="59" t="n">
        <f aca="false">SUM(E64:AD64)</f>
        <v>32.7534232424877</v>
      </c>
      <c r="E64" s="57" t="n">
        <f aca="false">(E62+E63*'Construction Draws'!$C$38)*IF(Inputs!$C$56=1,Inputs!$C$57,Inputs!$C$59)</f>
        <v>1.32302339202929</v>
      </c>
      <c r="F64" s="57" t="n">
        <f aca="false">(F62+F63*'Construction Draws'!$C$38)*IF(Inputs!$C$56=1,Inputs!$C$57,Inputs!$C$59)</f>
        <v>3.04535929874379</v>
      </c>
      <c r="G64" s="57" t="n">
        <f aca="false">(G62+G63*'Construction Draws'!$C$38)*IF(Inputs!$C$56=1,Inputs!$C$57,Inputs!$C$59)</f>
        <v>3.15389339463495</v>
      </c>
      <c r="H64" s="57" t="n">
        <f aca="false">(H62+H63*'Construction Draws'!$C$38)*IF(Inputs!$C$56=1,Inputs!$C$57,Inputs!$C$59)</f>
        <v>3.15389339463495</v>
      </c>
      <c r="I64" s="57" t="n">
        <f aca="false">(I62+I63*'Construction Draws'!$C$38)*IF(Inputs!$C$56=1,Inputs!$C$57,Inputs!$C$59)</f>
        <v>3.15389339463495</v>
      </c>
      <c r="J64" s="57" t="n">
        <f aca="false">(J62+J63*'Construction Draws'!$C$38)*IF(Inputs!$C$56=1,Inputs!$C$57,Inputs!$C$59)</f>
        <v>3.15389339463495</v>
      </c>
      <c r="K64" s="57" t="n">
        <f aca="false">(K62+K63*'Construction Draws'!$C$38)*IF(Inputs!$C$56=1,Inputs!$C$57,Inputs!$C$59)</f>
        <v>3.15389339463495</v>
      </c>
      <c r="L64" s="57" t="n">
        <f aca="false">(L62+L63*'Construction Draws'!$C$38)*IF(Inputs!$C$56=1,Inputs!$C$57,Inputs!$C$59)</f>
        <v>3.15389339463495</v>
      </c>
      <c r="M64" s="57" t="n">
        <f aca="false">(M62+M63*'Construction Draws'!$C$38)*IF(Inputs!$C$56=1,Inputs!$C$57,Inputs!$C$59)</f>
        <v>3.15389339463495</v>
      </c>
      <c r="N64" s="57" t="n">
        <f aca="false">(N62+N63*'Construction Draws'!$C$38)*IF(Inputs!$C$56=1,Inputs!$C$57,Inputs!$C$59)</f>
        <v>3.15389339463495</v>
      </c>
      <c r="O64" s="57" t="n">
        <f aca="false">(O62+O63*'Construction Draws'!$C$38)*IF(Inputs!$C$56=1,Inputs!$C$57,Inputs!$C$59)</f>
        <v>3.15389339463495</v>
      </c>
      <c r="P64" s="57" t="n">
        <f aca="false">(P62+P63*'Construction Draws'!$C$38)*IF(Inputs!$C$56=1,Inputs!$C$57,Inputs!$C$59)</f>
        <v>0</v>
      </c>
      <c r="Q64" s="57" t="n">
        <f aca="false">(Q62+Q63*'Construction Draws'!$C$38)*IF(Inputs!$C$56=1,Inputs!$C$57,Inputs!$C$59)</f>
        <v>0</v>
      </c>
      <c r="R64" s="57" t="n">
        <f aca="false">(R62+R63*'Construction Draws'!$C$38)*IF(Inputs!$C$56=1,Inputs!$C$57,Inputs!$C$59)</f>
        <v>0</v>
      </c>
      <c r="S64" s="57" t="n">
        <f aca="false">(S62+S63*'Construction Draws'!$C$38)*IF(Inputs!$C$56=1,Inputs!$C$57,Inputs!$C$59)</f>
        <v>0</v>
      </c>
      <c r="T64" s="57" t="n">
        <f aca="false">(T62+T63*'Construction Draws'!$C$38)*IF(Inputs!$C$56=1,Inputs!$C$57,Inputs!$C$59)</f>
        <v>0</v>
      </c>
      <c r="U64" s="57" t="n">
        <f aca="false">(U62+U63*'Construction Draws'!$C$38)*IF(Inputs!$C$56=1,Inputs!$C$57,Inputs!$C$59)</f>
        <v>0</v>
      </c>
      <c r="V64" s="57" t="n">
        <f aca="false">(V62+V63*'Construction Draws'!$C$38)*IF(Inputs!$C$56=1,Inputs!$C$57,Inputs!$C$59)</f>
        <v>0</v>
      </c>
      <c r="W64" s="57" t="n">
        <f aca="false">(W62+W63*'Construction Draws'!$C$38)*IF(Inputs!$C$56=1,Inputs!$C$57,Inputs!$C$59)</f>
        <v>0</v>
      </c>
      <c r="X64" s="57" t="n">
        <f aca="false">(X62+X63*'Construction Draws'!$C$38)*IF(Inputs!$C$56=1,Inputs!$C$57,Inputs!$C$59)</f>
        <v>0</v>
      </c>
      <c r="Y64" s="57" t="n">
        <f aca="false">(Y62+Y63*'Construction Draws'!$C$38)*IF(Inputs!$C$56=1,Inputs!$C$57,Inputs!$C$59)</f>
        <v>0</v>
      </c>
      <c r="Z64" s="57" t="n">
        <f aca="false">(Z62+Z63*'Construction Draws'!$C$38)*IF(Inputs!$C$56=1,Inputs!$C$57,Inputs!$C$59)</f>
        <v>0</v>
      </c>
      <c r="AA64" s="57" t="n">
        <f aca="false">(AA62+AA63*'Construction Draws'!$C$38)*IF(Inputs!$C$56=1,Inputs!$C$57,Inputs!$C$59)</f>
        <v>0</v>
      </c>
      <c r="AB64" s="57" t="n">
        <f aca="false">(AB62+AB63*'Construction Draws'!$C$38)*IF(Inputs!$C$56=1,Inputs!$C$57,Inputs!$C$59)</f>
        <v>0</v>
      </c>
      <c r="AC64" s="57" t="n">
        <f aca="false">(AC62+AC63*'Construction Draws'!$C$38)*IF(Inputs!$C$56=1,Inputs!$C$57,Inputs!$C$59)</f>
        <v>0</v>
      </c>
      <c r="AD64" s="57" t="n">
        <f aca="false">(AD62+AD63*'Construction Draws'!$C$38)*IF(Inputs!$C$56=1,Inputs!$C$57,Inputs!$C$59)</f>
        <v>0</v>
      </c>
    </row>
    <row r="65" customFormat="false" ht="15" hidden="false" customHeight="true" outlineLevel="0" collapsed="false">
      <c r="B65" s="40" t="s">
        <v>742</v>
      </c>
      <c r="C65" s="3" t="s">
        <v>297</v>
      </c>
      <c r="D65" s="59" t="n">
        <f aca="false">SUM(E65:AD65)</f>
        <v>30.5259490513654</v>
      </c>
      <c r="E65" s="57" t="n">
        <f aca="false">IF(E5&gt;=Inputs!$C$60,MIN(MAX(E59,0),E64),0)</f>
        <v>0</v>
      </c>
      <c r="F65" s="57" t="n">
        <f aca="false">IF(F5&gt;=Inputs!$C$60,MIN(MAX(F59,0),F64),0)</f>
        <v>2.14090849965078</v>
      </c>
      <c r="G65" s="57" t="n">
        <f aca="false">IF(G5&gt;=Inputs!$C$60,MIN(MAX(G59,0),G64),0)</f>
        <v>3.15389339463495</v>
      </c>
      <c r="H65" s="57" t="n">
        <f aca="false">IF(H5&gt;=Inputs!$C$60,MIN(MAX(H59,0),H64),0)</f>
        <v>3.15389339463495</v>
      </c>
      <c r="I65" s="57" t="n">
        <f aca="false">IF(I5&gt;=Inputs!$C$60,MIN(MAX(I59,0),I64),0)</f>
        <v>3.15389339463495</v>
      </c>
      <c r="J65" s="57" t="n">
        <f aca="false">IF(J5&gt;=Inputs!$C$60,MIN(MAX(J59,0),J64),0)</f>
        <v>3.15389339463495</v>
      </c>
      <c r="K65" s="57" t="n">
        <f aca="false">IF(K5&gt;=Inputs!$C$60,MIN(MAX(K59,0),K64),0)</f>
        <v>3.15389339463495</v>
      </c>
      <c r="L65" s="57" t="n">
        <f aca="false">IF(L5&gt;=Inputs!$C$60,MIN(MAX(L59,0),L64),0)</f>
        <v>3.15389339463495</v>
      </c>
      <c r="M65" s="57" t="n">
        <f aca="false">IF(M5&gt;=Inputs!$C$60,MIN(MAX(M59,0),M64),0)</f>
        <v>3.15389339463495</v>
      </c>
      <c r="N65" s="57" t="n">
        <f aca="false">IF(N5&gt;=Inputs!$C$60,MIN(MAX(N59,0),N64),0)</f>
        <v>3.15389339463495</v>
      </c>
      <c r="O65" s="57" t="n">
        <f aca="false">IF(O5&gt;=Inputs!$C$60,MIN(MAX(O59,0),O64),0)</f>
        <v>3.15389339463495</v>
      </c>
      <c r="P65" s="57" t="n">
        <f aca="false">IF(P5&gt;=Inputs!$C$60,MIN(MAX(P59,0),P64),0)</f>
        <v>0</v>
      </c>
      <c r="Q65" s="57" t="n">
        <f aca="false">IF(Q5&gt;=Inputs!$C$60,MIN(MAX(Q59,0),Q64),0)</f>
        <v>0</v>
      </c>
      <c r="R65" s="57" t="n">
        <f aca="false">IF(R5&gt;=Inputs!$C$60,MIN(MAX(R59,0),R64),0)</f>
        <v>0</v>
      </c>
      <c r="S65" s="57" t="n">
        <f aca="false">IF(S5&gt;=Inputs!$C$60,MIN(MAX(S59,0),S64),0)</f>
        <v>0</v>
      </c>
      <c r="T65" s="57" t="n">
        <f aca="false">IF(T5&gt;=Inputs!$C$60,MIN(MAX(T59,0),T64),0)</f>
        <v>0</v>
      </c>
      <c r="U65" s="57" t="n">
        <f aca="false">IF(U5&gt;=Inputs!$C$60,MIN(MAX(U59,0),U64),0)</f>
        <v>0</v>
      </c>
      <c r="V65" s="57" t="n">
        <f aca="false">IF(V5&gt;=Inputs!$C$60,MIN(MAX(V59,0),V64),0)</f>
        <v>0</v>
      </c>
      <c r="W65" s="57" t="n">
        <f aca="false">IF(W5&gt;=Inputs!$C$60,MIN(MAX(W59,0),W64),0)</f>
        <v>0</v>
      </c>
      <c r="X65" s="57" t="n">
        <f aca="false">IF(X5&gt;=Inputs!$C$60,MIN(MAX(X59,0),X64),0)</f>
        <v>0</v>
      </c>
      <c r="Y65" s="57" t="n">
        <f aca="false">IF(Y5&gt;=Inputs!$C$60,MIN(MAX(Y59,0),Y64),0)</f>
        <v>0</v>
      </c>
      <c r="Z65" s="57" t="n">
        <f aca="false">IF(Z5&gt;=Inputs!$C$60,MIN(MAX(Z59,0),Z64),0)</f>
        <v>0</v>
      </c>
      <c r="AA65" s="57" t="n">
        <f aca="false">IF(AA5&gt;=Inputs!$C$60,MIN(MAX(AA59,0),AA64),0)</f>
        <v>0</v>
      </c>
      <c r="AB65" s="57" t="n">
        <f aca="false">IF(AB5&gt;=Inputs!$C$60,MIN(MAX(AB59,0),AB64),0)</f>
        <v>0</v>
      </c>
      <c r="AC65" s="57" t="n">
        <f aca="false">IF(AC5&gt;=Inputs!$C$60,MIN(MAX(AC59,0),AC64),0)</f>
        <v>0</v>
      </c>
      <c r="AD65" s="57" t="n">
        <f aca="false">IF(AD5&gt;=Inputs!$C$60,MIN(MAX(AD59,0),AD64),0)</f>
        <v>0</v>
      </c>
    </row>
    <row r="66" customFormat="false" ht="15" hidden="false" customHeight="true" outlineLevel="0" collapsed="false">
      <c r="B66" s="4" t="s">
        <v>743</v>
      </c>
      <c r="C66" s="3" t="s">
        <v>297</v>
      </c>
      <c r="E66" s="57" t="n">
        <f aca="false">E64-E65</f>
        <v>1.32302339202929</v>
      </c>
      <c r="F66" s="57" t="n">
        <f aca="false">F64-F65</f>
        <v>0.904450799093015</v>
      </c>
      <c r="G66" s="57" t="n">
        <f aca="false">G64-G65</f>
        <v>0</v>
      </c>
      <c r="H66" s="57" t="n">
        <f aca="false">H64-H65</f>
        <v>0</v>
      </c>
      <c r="I66" s="57" t="n">
        <f aca="false">I64-I65</f>
        <v>0</v>
      </c>
      <c r="J66" s="57" t="n">
        <f aca="false">J64-J65</f>
        <v>0</v>
      </c>
      <c r="K66" s="57" t="n">
        <f aca="false">K64-K65</f>
        <v>0</v>
      </c>
      <c r="L66" s="57" t="n">
        <f aca="false">L64-L65</f>
        <v>0</v>
      </c>
      <c r="M66" s="57" t="n">
        <f aca="false">M64-M65</f>
        <v>0</v>
      </c>
      <c r="N66" s="57" t="n">
        <f aca="false">N64-N65</f>
        <v>0</v>
      </c>
      <c r="O66" s="57" t="n">
        <f aca="false">O64-O65</f>
        <v>0</v>
      </c>
      <c r="P66" s="57" t="n">
        <f aca="false">P64-P65</f>
        <v>0</v>
      </c>
      <c r="Q66" s="57" t="n">
        <f aca="false">Q64-Q65</f>
        <v>0</v>
      </c>
      <c r="R66" s="57" t="n">
        <f aca="false">R64-R65</f>
        <v>0</v>
      </c>
      <c r="S66" s="57" t="n">
        <f aca="false">S64-S65</f>
        <v>0</v>
      </c>
      <c r="T66" s="57" t="n">
        <f aca="false">T64-T65</f>
        <v>0</v>
      </c>
      <c r="U66" s="57" t="n">
        <f aca="false">U64-U65</f>
        <v>0</v>
      </c>
      <c r="V66" s="57" t="n">
        <f aca="false">V64-V65</f>
        <v>0</v>
      </c>
      <c r="W66" s="57" t="n">
        <f aca="false">W64-W65</f>
        <v>0</v>
      </c>
      <c r="X66" s="57" t="n">
        <f aca="false">X64-X65</f>
        <v>0</v>
      </c>
      <c r="Y66" s="57" t="n">
        <f aca="false">Y64-Y65</f>
        <v>0</v>
      </c>
      <c r="Z66" s="57" t="n">
        <f aca="false">Z64-Z65</f>
        <v>0</v>
      </c>
      <c r="AA66" s="57" t="n">
        <f aca="false">AA64-AA65</f>
        <v>0</v>
      </c>
      <c r="AB66" s="57" t="n">
        <f aca="false">AB64-AB65</f>
        <v>0</v>
      </c>
      <c r="AC66" s="57" t="n">
        <f aca="false">AC64-AC65</f>
        <v>0</v>
      </c>
      <c r="AD66" s="57" t="n">
        <f aca="false">AD64-AD65</f>
        <v>0</v>
      </c>
    </row>
    <row r="67" customFormat="false" ht="15" hidden="false" customHeight="true" outlineLevel="0" collapsed="false">
      <c r="B67" s="4" t="s">
        <v>744</v>
      </c>
      <c r="C67" s="3" t="s">
        <v>297</v>
      </c>
      <c r="E67" s="57" t="n">
        <f aca="false">E59-E65</f>
        <v>0</v>
      </c>
      <c r="F67" s="57" t="n">
        <f aca="false">F59-F65</f>
        <v>0</v>
      </c>
      <c r="G67" s="57" t="n">
        <f aca="false">G59-G65</f>
        <v>0.532525643080741</v>
      </c>
      <c r="H67" s="57" t="n">
        <f aca="false">H59-H65</f>
        <v>1.04815484077985</v>
      </c>
      <c r="I67" s="57" t="n">
        <f aca="false">I59-I65</f>
        <v>1.54695517887885</v>
      </c>
      <c r="J67" s="57" t="n">
        <f aca="false">J59-J65</f>
        <v>2.02899397281615</v>
      </c>
      <c r="K67" s="57" t="n">
        <f aca="false">K59-K65</f>
        <v>2.49433826876839</v>
      </c>
      <c r="L67" s="57" t="n">
        <f aca="false">L59-L65</f>
        <v>2.94305484472751</v>
      </c>
      <c r="M67" s="57" t="n">
        <f aca="false">M59-M65</f>
        <v>3.37521021157349</v>
      </c>
      <c r="N67" s="57" t="n">
        <f aca="false">N59-N65</f>
        <v>3.79087061414276</v>
      </c>
      <c r="O67" s="57" t="n">
        <f aca="false">O59-O65</f>
        <v>8.50572826970247</v>
      </c>
      <c r="P67" s="57" t="n">
        <f aca="false">P59-P65</f>
        <v>20.652895168491</v>
      </c>
      <c r="Q67" s="57" t="n">
        <f aca="false">Q59-Q65</f>
        <v>6.20425823119339</v>
      </c>
      <c r="R67" s="57" t="n">
        <f aca="false">R59-R65</f>
        <v>10.0189078736879</v>
      </c>
      <c r="S67" s="57" t="n">
        <f aca="false">S59-S65</f>
        <v>9.32498358805201</v>
      </c>
      <c r="T67" s="57" t="n">
        <f aca="false">T59-T65</f>
        <v>9.13636771540481</v>
      </c>
      <c r="U67" s="57" t="n">
        <f aca="false">U59-U65</f>
        <v>9.00624294460621</v>
      </c>
      <c r="V67" s="57" t="n">
        <f aca="false">V59-V65</f>
        <v>8.91128065590559</v>
      </c>
      <c r="W67" s="57" t="n">
        <f aca="false">W59-W65</f>
        <v>8.83748340616865</v>
      </c>
      <c r="X67" s="57" t="n">
        <f aca="false">X59-X65</f>
        <v>8.77645245931598</v>
      </c>
      <c r="Y67" s="57" t="n">
        <f aca="false">Y59-Y65</f>
        <v>8.72314830458193</v>
      </c>
      <c r="Z67" s="57" t="n">
        <f aca="false">Z59-Z65</f>
        <v>8.67454696746552</v>
      </c>
      <c r="AA67" s="57" t="n">
        <f aca="false">AA59-AA65</f>
        <v>8.62883379629681</v>
      </c>
      <c r="AB67" s="57" t="n">
        <f aca="false">AB59-AB65</f>
        <v>8.58491973417232</v>
      </c>
      <c r="AC67" s="57" t="n">
        <f aca="false">AC59-AC65</f>
        <v>8.54215108211205</v>
      </c>
      <c r="AD67" s="57" t="n">
        <f aca="false">AD59-AD65</f>
        <v>4.95896328804005</v>
      </c>
    </row>
    <row r="68" customFormat="false" ht="15" hidden="false" customHeight="true" outlineLevel="0" collapsed="false">
      <c r="B68" s="4" t="s">
        <v>745</v>
      </c>
      <c r="C68" s="3" t="s">
        <v>297</v>
      </c>
      <c r="E68" s="57" t="n">
        <v>0</v>
      </c>
      <c r="F68" s="57" t="n">
        <f aca="false">E70</f>
        <v>-1.57461202057607</v>
      </c>
      <c r="G68" s="57" t="n">
        <f aca="false">F70</f>
        <v>-5.22378402783212</v>
      </c>
      <c r="H68" s="57" t="n">
        <f aca="false">G70</f>
        <v>-8.68084032374795</v>
      </c>
      <c r="I68" s="57" t="n">
        <f aca="false">H70</f>
        <v>-11.8036653375531</v>
      </c>
      <c r="J68" s="57" t="n">
        <f aca="false">I70</f>
        <v>-14.5551595924865</v>
      </c>
      <c r="K68" s="57" t="n">
        <f aca="false">J70</f>
        <v>-13.8909890418752</v>
      </c>
      <c r="L68" s="57" t="n">
        <f aca="false">K70</f>
        <v>-12.7692182943621</v>
      </c>
      <c r="M68" s="57" t="n">
        <f aca="false">L70</f>
        <v>-11.1398181033177</v>
      </c>
      <c r="N68" s="57" t="n">
        <f aca="false">M70</f>
        <v>-8.94751407612038</v>
      </c>
      <c r="O68" s="57" t="n">
        <f aca="false">N70</f>
        <v>-6.13123590212726</v>
      </c>
      <c r="P68" s="57" t="n">
        <f aca="false">O70</f>
        <v>-2.62350874970951</v>
      </c>
      <c r="Q68" s="57" t="n">
        <f aca="false">P70</f>
        <v>0</v>
      </c>
      <c r="R68" s="57" t="n">
        <f aca="false">Q70</f>
        <v>0</v>
      </c>
      <c r="S68" s="57" t="n">
        <f aca="false">R70</f>
        <v>0</v>
      </c>
      <c r="T68" s="57" t="n">
        <f aca="false">S70</f>
        <v>0</v>
      </c>
      <c r="U68" s="57" t="n">
        <f aca="false">T70</f>
        <v>0</v>
      </c>
      <c r="V68" s="57" t="n">
        <f aca="false">U70</f>
        <v>0</v>
      </c>
      <c r="W68" s="57" t="n">
        <f aca="false">V70</f>
        <v>0</v>
      </c>
      <c r="X68" s="57" t="n">
        <f aca="false">W70</f>
        <v>0</v>
      </c>
      <c r="Y68" s="57" t="n">
        <f aca="false">X70</f>
        <v>0</v>
      </c>
      <c r="Z68" s="57" t="n">
        <f aca="false">Y70</f>
        <v>0</v>
      </c>
      <c r="AA68" s="57" t="n">
        <f aca="false">Z70</f>
        <v>0</v>
      </c>
      <c r="AB68" s="57" t="n">
        <f aca="false">AA70</f>
        <v>0</v>
      </c>
      <c r="AC68" s="57" t="n">
        <f aca="false">AB70</f>
        <v>0</v>
      </c>
      <c r="AD68" s="57" t="n">
        <f aca="false">AC70</f>
        <v>0</v>
      </c>
    </row>
    <row r="69" customFormat="false" ht="15" hidden="false" customHeight="true" outlineLevel="0" collapsed="false">
      <c r="B69" s="40" t="s">
        <v>746</v>
      </c>
      <c r="C69" s="3" t="s">
        <v>297</v>
      </c>
      <c r="D69" s="59" t="n">
        <f aca="false">SUM(E69:AD69)</f>
        <v>104.468995419467</v>
      </c>
      <c r="E69" s="57" t="n">
        <f aca="false">MAX(0,MIN(E67-E72,E68+E47))</f>
        <v>0</v>
      </c>
      <c r="F69" s="57" t="n">
        <f aca="false">MAX(0,MIN(F67-F72,F68+F47))</f>
        <v>0</v>
      </c>
      <c r="G69" s="57" t="n">
        <f aca="false">MAX(0,MIN(G67-G72,G68+G47))</f>
        <v>0</v>
      </c>
      <c r="H69" s="57" t="n">
        <f aca="false">MAX(0,MIN(H67-H72,H68+H47))</f>
        <v>0</v>
      </c>
      <c r="I69" s="57" t="n">
        <f aca="false">MAX(0,MIN(I67-I72,I68+I47))</f>
        <v>0</v>
      </c>
      <c r="J69" s="57" t="n">
        <f aca="false">MAX(0,MIN(J67-J72,J68+J47))</f>
        <v>0</v>
      </c>
      <c r="K69" s="57" t="n">
        <f aca="false">MAX(0,MIN(K67-K72,K68+K47))</f>
        <v>0</v>
      </c>
      <c r="L69" s="57" t="n">
        <f aca="false">MAX(0,MIN(L67-L72,L68+L47))</f>
        <v>0</v>
      </c>
      <c r="M69" s="57" t="n">
        <f aca="false">MAX(0,MIN(M67-M72,M68+M47))</f>
        <v>0</v>
      </c>
      <c r="N69" s="57" t="n">
        <f aca="false">MAX(0,MIN(N67-N72,N68+N47))</f>
        <v>0</v>
      </c>
      <c r="O69" s="57" t="n">
        <f aca="false">MAX(0,MIN(O67-O72,O68+O47))</f>
        <v>0</v>
      </c>
      <c r="P69" s="57" t="n">
        <f aca="false">MAX(0,MIN(P67-P72,P68+P47))</f>
        <v>4.80411263453289</v>
      </c>
      <c r="Q69" s="57" t="n">
        <f aca="false">MAX(0,MIN(Q67-Q72,Q68+Q47))</f>
        <v>1.48471271664725</v>
      </c>
      <c r="R69" s="57" t="n">
        <f aca="false">MAX(0,MIN(R67-R72,R68+R47))</f>
        <v>5.29936235914175</v>
      </c>
      <c r="S69" s="57" t="n">
        <f aca="false">MAX(0,MIN(S67-S72,S68+S47))</f>
        <v>4.60543807350586</v>
      </c>
      <c r="T69" s="57" t="n">
        <f aca="false">MAX(0,MIN(T67-T72,T68+T47))</f>
        <v>4.6313469969744</v>
      </c>
      <c r="U69" s="57" t="n">
        <f aca="false">MAX(0,MIN(U67-U72,U68+U47))</f>
        <v>9.00624294460621</v>
      </c>
      <c r="V69" s="57" t="n">
        <f aca="false">MAX(0,MIN(V67-V72,V68+V47))</f>
        <v>8.91128065590559</v>
      </c>
      <c r="W69" s="57" t="n">
        <f aca="false">MAX(0,MIN(W67-W72,W68+W47))</f>
        <v>8.83748340616865</v>
      </c>
      <c r="X69" s="57" t="n">
        <f aca="false">MAX(0,MIN(X67-X72,X68+X47))</f>
        <v>8.77645245931598</v>
      </c>
      <c r="Y69" s="57" t="n">
        <f aca="false">MAX(0,MIN(Y67-Y72,Y68+Y47))</f>
        <v>8.72314830458193</v>
      </c>
      <c r="Z69" s="57" t="n">
        <f aca="false">MAX(0,MIN(Z67-Z72,Z68+Z47))</f>
        <v>8.67454696746552</v>
      </c>
      <c r="AA69" s="57" t="n">
        <f aca="false">MAX(0,MIN(AA67-AA72,AA68+AA47))</f>
        <v>8.62883379629681</v>
      </c>
      <c r="AB69" s="57" t="n">
        <f aca="false">MAX(0,MIN(AB67-AB72,AB68+AB47))</f>
        <v>8.58491973417232</v>
      </c>
      <c r="AC69" s="57" t="n">
        <f aca="false">MAX(0,MIN(AC67-AC72,AC68+AC47))</f>
        <v>8.54215108211205</v>
      </c>
      <c r="AD69" s="57" t="n">
        <f aca="false">MAX(0,MIN(AD67-AD72,AD68+AD47))</f>
        <v>4.95896328804005</v>
      </c>
    </row>
    <row r="70" customFormat="false" ht="15" hidden="false" customHeight="true" outlineLevel="0" collapsed="false">
      <c r="B70" s="4" t="s">
        <v>747</v>
      </c>
      <c r="C70" s="3" t="s">
        <v>297</v>
      </c>
      <c r="E70" s="57" t="n">
        <f aca="false">E68+E47-E69</f>
        <v>-1.57461202057607</v>
      </c>
      <c r="F70" s="57" t="n">
        <f aca="false">F68+F47-F69</f>
        <v>-5.22378402783212</v>
      </c>
      <c r="G70" s="57" t="n">
        <f aca="false">G68+G47-G69</f>
        <v>-8.68084032374795</v>
      </c>
      <c r="H70" s="57" t="n">
        <f aca="false">H68+H47-H69</f>
        <v>-11.8036653375531</v>
      </c>
      <c r="I70" s="57" t="n">
        <f aca="false">I68+I47-I69</f>
        <v>-14.5551595924865</v>
      </c>
      <c r="J70" s="57" t="n">
        <f aca="false">J68+J47-J69</f>
        <v>-13.8909890418752</v>
      </c>
      <c r="K70" s="57" t="n">
        <f aca="false">K68+K47-K69</f>
        <v>-12.7692182943621</v>
      </c>
      <c r="L70" s="57" t="n">
        <f aca="false">L68+L47-L69</f>
        <v>-11.1398181033177</v>
      </c>
      <c r="M70" s="57" t="n">
        <f aca="false">M68+M47-M69</f>
        <v>-8.94751407612038</v>
      </c>
      <c r="N70" s="57" t="n">
        <f aca="false">N68+N47-N69</f>
        <v>-6.13123590212726</v>
      </c>
      <c r="O70" s="57" t="n">
        <f aca="false">O68+O47-O69</f>
        <v>-2.62350874970951</v>
      </c>
      <c r="P70" s="57" t="n">
        <f aca="false">P68+P47-P69</f>
        <v>0</v>
      </c>
      <c r="Q70" s="57" t="n">
        <f aca="false">Q68+Q47-Q69</f>
        <v>0</v>
      </c>
      <c r="R70" s="57" t="n">
        <f aca="false">R68+R47-R69</f>
        <v>0</v>
      </c>
      <c r="S70" s="57" t="n">
        <f aca="false">S68+S47-S69</f>
        <v>0</v>
      </c>
      <c r="T70" s="57" t="n">
        <f aca="false">T68+T47-T69</f>
        <v>0</v>
      </c>
      <c r="U70" s="57" t="n">
        <f aca="false">U68+U47-U69</f>
        <v>0</v>
      </c>
      <c r="V70" s="57" t="n">
        <f aca="false">V68+V47-V69</f>
        <v>0</v>
      </c>
      <c r="W70" s="57" t="n">
        <f aca="false">W68+W47-W69</f>
        <v>0</v>
      </c>
      <c r="X70" s="57" t="n">
        <f aca="false">X68+X47-X69</f>
        <v>0</v>
      </c>
      <c r="Y70" s="57" t="n">
        <f aca="false">Y68+Y47-Y69</f>
        <v>0</v>
      </c>
      <c r="Z70" s="57" t="n">
        <f aca="false">Z68+Z47-Z69</f>
        <v>0</v>
      </c>
      <c r="AA70" s="57" t="n">
        <f aca="false">AA68+AA47-AA69</f>
        <v>0</v>
      </c>
      <c r="AB70" s="57" t="n">
        <f aca="false">AB68+AB47-AB69</f>
        <v>0</v>
      </c>
      <c r="AC70" s="57" t="n">
        <f aca="false">AC68+AC47-AC69</f>
        <v>0</v>
      </c>
      <c r="AD70" s="57" t="n">
        <f aca="false">AD68+AD47-AD69</f>
        <v>0</v>
      </c>
    </row>
    <row r="71" customFormat="false" ht="15" hidden="false" customHeight="true" outlineLevel="0" collapsed="false">
      <c r="B71" s="4" t="s">
        <v>748</v>
      </c>
      <c r="C71" s="3" t="s">
        <v>297</v>
      </c>
      <c r="E71" s="57" t="n">
        <f aca="false">E67-E72-E69</f>
        <v>0</v>
      </c>
      <c r="F71" s="57" t="n">
        <f aca="false">F67-F72-F69</f>
        <v>0</v>
      </c>
      <c r="G71" s="57" t="n">
        <f aca="false">G67-G72-G69</f>
        <v>0.532525643080741</v>
      </c>
      <c r="H71" s="57" t="n">
        <f aca="false">H67-H72-H69</f>
        <v>1.04815484077985</v>
      </c>
      <c r="I71" s="57" t="n">
        <f aca="false">I67-I72-I69</f>
        <v>1.54695517887885</v>
      </c>
      <c r="J71" s="57" t="n">
        <f aca="false">J67-J72-J69</f>
        <v>2.02899397281615</v>
      </c>
      <c r="K71" s="57" t="n">
        <f aca="false">K67-K72-K69</f>
        <v>2.49433826876839</v>
      </c>
      <c r="L71" s="57" t="n">
        <f aca="false">L67-L72-L69</f>
        <v>2.94305484472751</v>
      </c>
      <c r="M71" s="57" t="n">
        <f aca="false">M67-M72-M69</f>
        <v>3.37521021157349</v>
      </c>
      <c r="N71" s="57" t="n">
        <f aca="false">N67-N72-N69</f>
        <v>3.79087061414276</v>
      </c>
      <c r="O71" s="57" t="n">
        <f aca="false">O67-O72-O69</f>
        <v>8.50572826970247</v>
      </c>
      <c r="P71" s="57" t="n">
        <f aca="false">P67-P72-P69</f>
        <v>15.8487825339581</v>
      </c>
      <c r="Q71" s="57" t="n">
        <f aca="false">Q67-Q72-Q69</f>
        <v>4.71954551454615</v>
      </c>
      <c r="R71" s="57" t="n">
        <f aca="false">R67-R72-R69</f>
        <v>4.71954551454615</v>
      </c>
      <c r="S71" s="57" t="n">
        <f aca="false">S67-S72-S69</f>
        <v>4.71954551454615</v>
      </c>
      <c r="T71" s="57" t="n">
        <f aca="false">T67-T72-T69</f>
        <v>4.50502071843042</v>
      </c>
      <c r="U71" s="57" t="n">
        <f aca="false">U67-U72-U69</f>
        <v>0</v>
      </c>
      <c r="V71" s="57" t="n">
        <f aca="false">V67-V72-V69</f>
        <v>0</v>
      </c>
      <c r="W71" s="57" t="n">
        <f aca="false">W67-W72-W69</f>
        <v>0</v>
      </c>
      <c r="X71" s="57" t="n">
        <f aca="false">X67-X72-X69</f>
        <v>0</v>
      </c>
      <c r="Y71" s="57" t="n">
        <f aca="false">Y67-Y72-Y69</f>
        <v>0</v>
      </c>
      <c r="Z71" s="57" t="n">
        <f aca="false">Z67-Z72-Z69</f>
        <v>0</v>
      </c>
      <c r="AA71" s="57" t="n">
        <f aca="false">AA67-AA72-AA69</f>
        <v>0</v>
      </c>
      <c r="AB71" s="57" t="n">
        <f aca="false">AB67-AB72-AB69</f>
        <v>0</v>
      </c>
      <c r="AC71" s="57" t="n">
        <f aca="false">AC67-AC72-AC69</f>
        <v>0</v>
      </c>
      <c r="AD71" s="57" t="n">
        <f aca="false">AD67-AD72-AD69</f>
        <v>0</v>
      </c>
    </row>
    <row r="72" customFormat="false" ht="15" hidden="false" customHeight="true" outlineLevel="0" collapsed="false">
      <c r="B72" s="40" t="s">
        <v>749</v>
      </c>
      <c r="C72" s="3" t="s">
        <v>297</v>
      </c>
      <c r="D72" s="59" t="n">
        <f aca="false">SUM(E72:AD72)</f>
        <v>0</v>
      </c>
      <c r="E72" s="57" t="n">
        <f aca="false">IF(AND(Inputs!$C$56=2,E5&gt;=Inputs!$C$61),MIN(MAX(E67,0),E62+E66),0)</f>
        <v>0</v>
      </c>
      <c r="F72" s="57" t="n">
        <f aca="false">IF(AND(Inputs!$C$56=2,F5&gt;=Inputs!$C$61),MIN(MAX(F67,0),F62+F66),0)</f>
        <v>0</v>
      </c>
      <c r="G72" s="57" t="n">
        <f aca="false">IF(AND(Inputs!$C$56=2,G5&gt;=Inputs!$C$61),MIN(MAX(G67,0),G62+G66),0)</f>
        <v>0</v>
      </c>
      <c r="H72" s="57" t="n">
        <f aca="false">IF(AND(Inputs!$C$56=2,H5&gt;=Inputs!$C$61),MIN(MAX(H67,0),H62+H66),0)</f>
        <v>0</v>
      </c>
      <c r="I72" s="57" t="n">
        <f aca="false">IF(AND(Inputs!$C$56=2,I5&gt;=Inputs!$C$61),MIN(MAX(I67,0),I62+I66),0)</f>
        <v>0</v>
      </c>
      <c r="J72" s="57" t="n">
        <f aca="false">IF(AND(Inputs!$C$56=2,J5&gt;=Inputs!$C$61),MIN(MAX(J67,0),J62+J66),0)</f>
        <v>0</v>
      </c>
      <c r="K72" s="57" t="n">
        <f aca="false">IF(AND(Inputs!$C$56=2,K5&gt;=Inputs!$C$61),MIN(MAX(K67,0),K62+K66),0)</f>
        <v>0</v>
      </c>
      <c r="L72" s="57" t="n">
        <f aca="false">IF(AND(Inputs!$C$56=2,L5&gt;=Inputs!$C$61),MIN(MAX(L67,0),L62+L66),0)</f>
        <v>0</v>
      </c>
      <c r="M72" s="57" t="n">
        <f aca="false">IF(AND(Inputs!$C$56=2,M5&gt;=Inputs!$C$61),MIN(MAX(M67,0),M62+M66),0)</f>
        <v>0</v>
      </c>
      <c r="N72" s="57" t="n">
        <f aca="false">IF(AND(Inputs!$C$56=2,N5&gt;=Inputs!$C$61),MIN(MAX(N67,0),N62+N66),0)</f>
        <v>0</v>
      </c>
      <c r="O72" s="57" t="n">
        <f aca="false">IF(AND(Inputs!$C$56=2,O5&gt;=Inputs!$C$61),MIN(MAX(O67,0),O62+O66),0)</f>
        <v>0</v>
      </c>
      <c r="P72" s="57" t="n">
        <f aca="false">IF(AND(Inputs!$C$56=2,P5&gt;=Inputs!$C$61),MIN(MAX(P67,0),P62+P66),0)</f>
        <v>0</v>
      </c>
      <c r="Q72" s="57" t="n">
        <f aca="false">IF(AND(Inputs!$C$56=2,Q5&gt;=Inputs!$C$61),MIN(MAX(Q67,0),Q62+Q66),0)</f>
        <v>0</v>
      </c>
      <c r="R72" s="57" t="n">
        <f aca="false">IF(AND(Inputs!$C$56=2,R5&gt;=Inputs!$C$61),MIN(MAX(R67,0),R62+R66),0)</f>
        <v>0</v>
      </c>
      <c r="S72" s="57" t="n">
        <f aca="false">IF(AND(Inputs!$C$56=2,S5&gt;=Inputs!$C$61),MIN(MAX(S67,0),S62+S66),0)</f>
        <v>0</v>
      </c>
      <c r="T72" s="57" t="n">
        <f aca="false">IF(AND(Inputs!$C$56=2,T5&gt;=Inputs!$C$61),MIN(MAX(T67,0),T62+T66),0)</f>
        <v>0</v>
      </c>
      <c r="U72" s="57" t="n">
        <f aca="false">IF(AND(Inputs!$C$56=2,U5&gt;=Inputs!$C$61),MIN(MAX(U67,0),U62+U66),0)</f>
        <v>0</v>
      </c>
      <c r="V72" s="57" t="n">
        <f aca="false">IF(AND(Inputs!$C$56=2,V5&gt;=Inputs!$C$61),MIN(MAX(V67,0),V62+V66),0)</f>
        <v>0</v>
      </c>
      <c r="W72" s="57" t="n">
        <f aca="false">IF(AND(Inputs!$C$56=2,W5&gt;=Inputs!$C$61),MIN(MAX(W67,0),W62+W66),0)</f>
        <v>0</v>
      </c>
      <c r="X72" s="57" t="n">
        <f aca="false">IF(AND(Inputs!$C$56=2,X5&gt;=Inputs!$C$61),MIN(MAX(X67,0),X62+X66),0)</f>
        <v>0</v>
      </c>
      <c r="Y72" s="57" t="n">
        <f aca="false">IF(AND(Inputs!$C$56=2,Y5&gt;=Inputs!$C$61),MIN(MAX(Y67,0),Y62+Y66),0)</f>
        <v>0</v>
      </c>
      <c r="Z72" s="57" t="n">
        <f aca="false">IF(AND(Inputs!$C$56=2,Z5&gt;=Inputs!$C$61),MIN(MAX(Z67,0),Z62+Z66),0)</f>
        <v>0</v>
      </c>
      <c r="AA72" s="57" t="n">
        <f aca="false">IF(AND(Inputs!$C$56=2,AA5&gt;=Inputs!$C$61),MIN(MAX(AA67,0),AA62+AA66),0)</f>
        <v>0</v>
      </c>
      <c r="AB72" s="57" t="n">
        <f aca="false">IF(AND(Inputs!$C$56=2,AB5&gt;=Inputs!$C$61),MIN(MAX(AB67,0),AB62+AB66),0)</f>
        <v>0</v>
      </c>
      <c r="AC72" s="57" t="n">
        <f aca="false">IF(AND(Inputs!$C$56=2,AC5&gt;=Inputs!$C$61),MIN(MAX(AC67,0),AC62+AC66),0)</f>
        <v>0</v>
      </c>
      <c r="AD72" s="57" t="n">
        <f aca="false">IF(AND(Inputs!$C$56=2,AD5&gt;=Inputs!$C$61),MIN(MAX(AD67,0),AD62+AD66),0)</f>
        <v>0</v>
      </c>
    </row>
    <row r="73" customFormat="false" ht="15" hidden="false" customHeight="true" outlineLevel="0" collapsed="false">
      <c r="B73" s="4" t="s">
        <v>750</v>
      </c>
      <c r="C73" s="3" t="s">
        <v>297</v>
      </c>
      <c r="D73" s="59" t="n">
        <f aca="false">SUM(E73:AD73)</f>
        <v>26.2824449552913</v>
      </c>
      <c r="E73" s="57" t="n">
        <f aca="false">IF(AND(Inputs!$C$56=1,E5=Inputs!$C$58),E62+E63+E66-E72,0)</f>
        <v>0</v>
      </c>
      <c r="F73" s="57" t="n">
        <f aca="false">IF(AND(Inputs!$C$56=1,F5=Inputs!$C$58),F62+F63+F66-F72,0)</f>
        <v>0</v>
      </c>
      <c r="G73" s="57" t="n">
        <f aca="false">IF(AND(Inputs!$C$56=1,G5=Inputs!$C$58),G62+G63+G66-G72,0)</f>
        <v>0</v>
      </c>
      <c r="H73" s="57" t="n">
        <f aca="false">IF(AND(Inputs!$C$56=1,H5=Inputs!$C$58),H62+H63+H66-H72,0)</f>
        <v>0</v>
      </c>
      <c r="I73" s="57" t="n">
        <f aca="false">IF(AND(Inputs!$C$56=1,I5=Inputs!$C$58),I62+I63+I66-I72,0)</f>
        <v>0</v>
      </c>
      <c r="J73" s="57" t="n">
        <f aca="false">IF(AND(Inputs!$C$56=1,J5=Inputs!$C$58),J62+J63+J66-J72,0)</f>
        <v>0</v>
      </c>
      <c r="K73" s="57" t="n">
        <f aca="false">IF(AND(Inputs!$C$56=1,K5=Inputs!$C$58),K62+K63+K66-K72,0)</f>
        <v>0</v>
      </c>
      <c r="L73" s="57" t="n">
        <f aca="false">IF(AND(Inputs!$C$56=1,L5=Inputs!$C$58),L62+L63+L66-L72,0)</f>
        <v>0</v>
      </c>
      <c r="M73" s="57" t="n">
        <f aca="false">IF(AND(Inputs!$C$56=1,M5=Inputs!$C$58),M62+M63+M66-M72,0)</f>
        <v>0</v>
      </c>
      <c r="N73" s="57" t="n">
        <f aca="false">IF(AND(Inputs!$C$56=1,N5=Inputs!$C$58),N62+N63+N66-N72,0)</f>
        <v>0</v>
      </c>
      <c r="O73" s="57" t="n">
        <f aca="false">IF(AND(Inputs!$C$56=1,O5=Inputs!$C$58),O62+O63+O66-O72,0)</f>
        <v>26.2824449552913</v>
      </c>
      <c r="P73" s="57" t="n">
        <f aca="false">IF(AND(Inputs!$C$56=1,P5=Inputs!$C$58),P62+P63+P66-P72,0)</f>
        <v>0</v>
      </c>
      <c r="Q73" s="57" t="n">
        <f aca="false">IF(AND(Inputs!$C$56=1,Q5=Inputs!$C$58),Q62+Q63+Q66-Q72,0)</f>
        <v>0</v>
      </c>
      <c r="R73" s="57" t="n">
        <f aca="false">IF(AND(Inputs!$C$56=1,R5=Inputs!$C$58),R62+R63+R66-R72,0)</f>
        <v>0</v>
      </c>
      <c r="S73" s="57" t="n">
        <f aca="false">IF(AND(Inputs!$C$56=1,S5=Inputs!$C$58),S62+S63+S66-S72,0)</f>
        <v>0</v>
      </c>
      <c r="T73" s="57" t="n">
        <f aca="false">IF(AND(Inputs!$C$56=1,T5=Inputs!$C$58),T62+T63+T66-T72,0)</f>
        <v>0</v>
      </c>
      <c r="U73" s="57" t="n">
        <f aca="false">IF(AND(Inputs!$C$56=1,U5=Inputs!$C$58),U62+U63+U66-U72,0)</f>
        <v>0</v>
      </c>
      <c r="V73" s="57" t="n">
        <f aca="false">IF(AND(Inputs!$C$56=1,V5=Inputs!$C$58),V62+V63+V66-V72,0)</f>
        <v>0</v>
      </c>
      <c r="W73" s="57" t="n">
        <f aca="false">IF(AND(Inputs!$C$56=1,W5=Inputs!$C$58),W62+W63+W66-W72,0)</f>
        <v>0</v>
      </c>
      <c r="X73" s="57" t="n">
        <f aca="false">IF(AND(Inputs!$C$56=1,X5=Inputs!$C$58),X62+X63+X66-X72,0)</f>
        <v>0</v>
      </c>
      <c r="Y73" s="57" t="n">
        <f aca="false">IF(AND(Inputs!$C$56=1,Y5=Inputs!$C$58),Y62+Y63+Y66-Y72,0)</f>
        <v>0</v>
      </c>
      <c r="Z73" s="57" t="n">
        <f aca="false">IF(AND(Inputs!$C$56=1,Z5=Inputs!$C$58),Z62+Z63+Z66-Z72,0)</f>
        <v>0</v>
      </c>
      <c r="AA73" s="57" t="n">
        <f aca="false">IF(AND(Inputs!$C$56=1,AA5=Inputs!$C$58),AA62+AA63+AA66-AA72,0)</f>
        <v>0</v>
      </c>
      <c r="AB73" s="57" t="n">
        <f aca="false">IF(AND(Inputs!$C$56=1,AB5=Inputs!$C$58),AB62+AB63+AB66-AB72,0)</f>
        <v>0</v>
      </c>
      <c r="AC73" s="57" t="n">
        <f aca="false">IF(AND(Inputs!$C$56=1,AC5=Inputs!$C$58),AC62+AC63+AC66-AC72,0)</f>
        <v>0</v>
      </c>
      <c r="AD73" s="57" t="n">
        <f aca="false">IF(AND(Inputs!$C$56=1,AD5=Inputs!$C$58),AD62+AD63+AD66-AD72,0)</f>
        <v>0</v>
      </c>
    </row>
    <row r="74" customFormat="false" ht="15" hidden="false" customHeight="true" outlineLevel="0" collapsed="false">
      <c r="B74" s="4" t="s">
        <v>751</v>
      </c>
      <c r="C74" s="3" t="s">
        <v>297</v>
      </c>
      <c r="D74" s="59" t="n">
        <f aca="false">AD74</f>
        <v>0</v>
      </c>
      <c r="E74" s="57" t="n">
        <f aca="false">E62+E63+E66-E72-E73</f>
        <v>25.3779941561983</v>
      </c>
      <c r="F74" s="57" t="n">
        <f aca="false">F62+F63+F66-F72-F73</f>
        <v>26.2824449552913</v>
      </c>
      <c r="G74" s="57" t="n">
        <f aca="false">G62+G63+G66-G72-G73</f>
        <v>26.2824449552913</v>
      </c>
      <c r="H74" s="57" t="n">
        <f aca="false">H62+H63+H66-H72-H73</f>
        <v>26.2824449552913</v>
      </c>
      <c r="I74" s="57" t="n">
        <f aca="false">I62+I63+I66-I72-I73</f>
        <v>26.2824449552913</v>
      </c>
      <c r="J74" s="57" t="n">
        <f aca="false">J62+J63+J66-J72-J73</f>
        <v>26.2824449552913</v>
      </c>
      <c r="K74" s="57" t="n">
        <f aca="false">K62+K63+K66-K72-K73</f>
        <v>26.2824449552913</v>
      </c>
      <c r="L74" s="57" t="n">
        <f aca="false">L62+L63+L66-L72-L73</f>
        <v>26.2824449552913</v>
      </c>
      <c r="M74" s="57" t="n">
        <f aca="false">M62+M63+M66-M72-M73</f>
        <v>26.2824449552913</v>
      </c>
      <c r="N74" s="57" t="n">
        <f aca="false">N62+N63+N66-N72-N73</f>
        <v>26.2824449552913</v>
      </c>
      <c r="O74" s="57" t="n">
        <f aca="false">O62+O63+O66-O72-O73</f>
        <v>0</v>
      </c>
      <c r="P74" s="57" t="n">
        <f aca="false">P62+P63+P66-P72-P73</f>
        <v>0</v>
      </c>
      <c r="Q74" s="57" t="n">
        <f aca="false">Q62+Q63+Q66-Q72-Q73</f>
        <v>0</v>
      </c>
      <c r="R74" s="57" t="n">
        <f aca="false">R62+R63+R66-R72-R73</f>
        <v>0</v>
      </c>
      <c r="S74" s="57" t="n">
        <f aca="false">S62+S63+S66-S72-S73</f>
        <v>0</v>
      </c>
      <c r="T74" s="57" t="n">
        <f aca="false">T62+T63+T66-T72-T73</f>
        <v>0</v>
      </c>
      <c r="U74" s="57" t="n">
        <f aca="false">U62+U63+U66-U72-U73</f>
        <v>0</v>
      </c>
      <c r="V74" s="57" t="n">
        <f aca="false">V62+V63+V66-V72-V73</f>
        <v>0</v>
      </c>
      <c r="W74" s="57" t="n">
        <f aca="false">W62+W63+W66-W72-W73</f>
        <v>0</v>
      </c>
      <c r="X74" s="57" t="n">
        <f aca="false">X62+X63+X66-X72-X73</f>
        <v>0</v>
      </c>
      <c r="Y74" s="57" t="n">
        <f aca="false">Y62+Y63+Y66-Y72-Y73</f>
        <v>0</v>
      </c>
      <c r="Z74" s="57" t="n">
        <f aca="false">Z62+Z63+Z66-Z72-Z73</f>
        <v>0</v>
      </c>
      <c r="AA74" s="57" t="n">
        <f aca="false">AA62+AA63+AA66-AA72-AA73</f>
        <v>0</v>
      </c>
      <c r="AB74" s="57" t="n">
        <f aca="false">AB62+AB63+AB66-AB72-AB73</f>
        <v>0</v>
      </c>
      <c r="AC74" s="57" t="n">
        <f aca="false">AC62+AC63+AC66-AC72-AC73</f>
        <v>0</v>
      </c>
      <c r="AD74" s="57" t="n">
        <f aca="false">AD62+AD63+AD66-AD72-AD73</f>
        <v>0</v>
      </c>
    </row>
    <row r="75" customFormat="false" ht="15" hidden="false" customHeight="true" outlineLevel="0" collapsed="false">
      <c r="B75" s="4" t="s">
        <v>752</v>
      </c>
      <c r="C75" s="3" t="s">
        <v>297</v>
      </c>
      <c r="E75" s="57" t="n">
        <f aca="false">E71</f>
        <v>0</v>
      </c>
      <c r="F75" s="57" t="n">
        <f aca="false">F71</f>
        <v>0</v>
      </c>
      <c r="G75" s="57" t="n">
        <f aca="false">G71</f>
        <v>0.532525643080741</v>
      </c>
      <c r="H75" s="57" t="n">
        <f aca="false">H71</f>
        <v>1.04815484077985</v>
      </c>
      <c r="I75" s="57" t="n">
        <f aca="false">I71</f>
        <v>1.54695517887885</v>
      </c>
      <c r="J75" s="57" t="n">
        <f aca="false">J71</f>
        <v>2.02899397281615</v>
      </c>
      <c r="K75" s="57" t="n">
        <f aca="false">K71</f>
        <v>2.49433826876839</v>
      </c>
      <c r="L75" s="57" t="n">
        <f aca="false">L71</f>
        <v>2.94305484472751</v>
      </c>
      <c r="M75" s="57" t="n">
        <f aca="false">M71</f>
        <v>3.37521021157349</v>
      </c>
      <c r="N75" s="57" t="n">
        <f aca="false">N71</f>
        <v>3.79087061414276</v>
      </c>
      <c r="O75" s="57" t="n">
        <f aca="false">O71</f>
        <v>8.50572826970247</v>
      </c>
      <c r="P75" s="57" t="n">
        <f aca="false">P71</f>
        <v>15.8487825339581</v>
      </c>
      <c r="Q75" s="57" t="n">
        <f aca="false">Q71</f>
        <v>4.71954551454615</v>
      </c>
      <c r="R75" s="57" t="n">
        <f aca="false">R71</f>
        <v>4.71954551454615</v>
      </c>
      <c r="S75" s="57" t="n">
        <f aca="false">S71</f>
        <v>4.71954551454615</v>
      </c>
      <c r="T75" s="57" t="n">
        <f aca="false">T71</f>
        <v>4.50502071843042</v>
      </c>
      <c r="U75" s="57" t="n">
        <f aca="false">U71</f>
        <v>0</v>
      </c>
      <c r="V75" s="57" t="n">
        <f aca="false">V71</f>
        <v>0</v>
      </c>
      <c r="W75" s="57" t="n">
        <f aca="false">W71</f>
        <v>0</v>
      </c>
      <c r="X75" s="57" t="n">
        <f aca="false">X71</f>
        <v>0</v>
      </c>
      <c r="Y75" s="57" t="n">
        <f aca="false">Y71</f>
        <v>0</v>
      </c>
      <c r="Z75" s="57" t="n">
        <f aca="false">Z71</f>
        <v>0</v>
      </c>
      <c r="AA75" s="57" t="n">
        <f aca="false">AA71</f>
        <v>0</v>
      </c>
      <c r="AB75" s="57" t="n">
        <f aca="false">AB71</f>
        <v>0</v>
      </c>
      <c r="AC75" s="57" t="n">
        <f aca="false">AC71</f>
        <v>0</v>
      </c>
      <c r="AD75" s="57" t="n">
        <f aca="false">AD71</f>
        <v>0</v>
      </c>
    </row>
    <row r="76" customFormat="false" ht="15" hidden="false" customHeight="true" outlineLevel="0" collapsed="false">
      <c r="B76" s="4" t="s">
        <v>753</v>
      </c>
      <c r="C76" s="3" t="s">
        <v>297</v>
      </c>
      <c r="E76" s="57" t="n">
        <v>0</v>
      </c>
      <c r="F76" s="57" t="n">
        <f aca="false">E78</f>
        <v>8.2299948407357</v>
      </c>
      <c r="G76" s="57" t="n">
        <f aca="false">F78</f>
        <v>8.2299948407357</v>
      </c>
      <c r="H76" s="57" t="n">
        <f aca="false">G78</f>
        <v>8.2299948407357</v>
      </c>
      <c r="I76" s="57" t="n">
        <f aca="false">H78</f>
        <v>8.2299948407357</v>
      </c>
      <c r="J76" s="57" t="n">
        <f aca="false">I78</f>
        <v>8.2299948407357</v>
      </c>
      <c r="K76" s="57" t="n">
        <f aca="false">J78</f>
        <v>8.2299948407357</v>
      </c>
      <c r="L76" s="57" t="n">
        <f aca="false">K78</f>
        <v>8.2299948407357</v>
      </c>
      <c r="M76" s="57" t="n">
        <f aca="false">L78</f>
        <v>8.2299948407357</v>
      </c>
      <c r="N76" s="57" t="n">
        <f aca="false">M78</f>
        <v>8.2299948407357</v>
      </c>
      <c r="O76" s="57" t="n">
        <f aca="false">N78</f>
        <v>8.2299948407357</v>
      </c>
      <c r="P76" s="57" t="n">
        <f aca="false">O78</f>
        <v>34.512439796027</v>
      </c>
      <c r="Q76" s="57" t="n">
        <f aca="false">P78</f>
        <v>18.6636572620689</v>
      </c>
      <c r="R76" s="57" t="n">
        <f aca="false">Q78</f>
        <v>13.9441117475227</v>
      </c>
      <c r="S76" s="57" t="n">
        <f aca="false">R78</f>
        <v>9.22456623297656</v>
      </c>
      <c r="T76" s="57" t="n">
        <f aca="false">S78</f>
        <v>4.50502071843041</v>
      </c>
      <c r="U76" s="57" t="n">
        <f aca="false">T78</f>
        <v>0</v>
      </c>
      <c r="V76" s="57" t="n">
        <f aca="false">U78</f>
        <v>0</v>
      </c>
      <c r="W76" s="57" t="n">
        <f aca="false">V78</f>
        <v>0</v>
      </c>
      <c r="X76" s="57" t="n">
        <f aca="false">W78</f>
        <v>0</v>
      </c>
      <c r="Y76" s="57" t="n">
        <f aca="false">X78</f>
        <v>0</v>
      </c>
      <c r="Z76" s="57" t="n">
        <f aca="false">Y78</f>
        <v>0</v>
      </c>
      <c r="AA76" s="57" t="n">
        <f aca="false">Z78</f>
        <v>0</v>
      </c>
      <c r="AB76" s="57" t="n">
        <f aca="false">AA78</f>
        <v>0</v>
      </c>
      <c r="AC76" s="57" t="n">
        <f aca="false">AB78</f>
        <v>0</v>
      </c>
      <c r="AD76" s="57" t="n">
        <f aca="false">AC78</f>
        <v>0</v>
      </c>
    </row>
    <row r="77" customFormat="false" ht="15" hidden="false" customHeight="true" outlineLevel="0" collapsed="false">
      <c r="B77" s="4" t="s">
        <v>754</v>
      </c>
      <c r="C77" s="3" t="s">
        <v>297</v>
      </c>
      <c r="D77" s="59" t="n">
        <f aca="false">SUM(E77:AD77)</f>
        <v>34.512439796027</v>
      </c>
      <c r="E77" s="57" t="n">
        <f aca="false">IF(E5&gt;=Inputs!$C$62,MIN(MAX(E75,0),E76+E61+E73),0)</f>
        <v>0</v>
      </c>
      <c r="F77" s="57" t="n">
        <f aca="false">IF(F5&gt;=Inputs!$C$62,MIN(MAX(F75,0),F76+F61+F73),0)</f>
        <v>0</v>
      </c>
      <c r="G77" s="57" t="n">
        <f aca="false">IF(G5&gt;=Inputs!$C$62,MIN(MAX(G75,0),G76+G61+G73),0)</f>
        <v>0</v>
      </c>
      <c r="H77" s="57" t="n">
        <f aca="false">IF(H5&gt;=Inputs!$C$62,MIN(MAX(H75,0),H76+H61+H73),0)</f>
        <v>0</v>
      </c>
      <c r="I77" s="57" t="n">
        <f aca="false">IF(I5&gt;=Inputs!$C$62,MIN(MAX(I75,0),I76+I61+I73),0)</f>
        <v>0</v>
      </c>
      <c r="J77" s="57" t="n">
        <f aca="false">IF(J5&gt;=Inputs!$C$62,MIN(MAX(J75,0),J76+J61+J73),0)</f>
        <v>0</v>
      </c>
      <c r="K77" s="57" t="n">
        <f aca="false">IF(K5&gt;=Inputs!$C$62,MIN(MAX(K75,0),K76+K61+K73),0)</f>
        <v>0</v>
      </c>
      <c r="L77" s="57" t="n">
        <f aca="false">IF(L5&gt;=Inputs!$C$62,MIN(MAX(L75,0),L76+L61+L73),0)</f>
        <v>0</v>
      </c>
      <c r="M77" s="57" t="n">
        <f aca="false">IF(M5&gt;=Inputs!$C$62,MIN(MAX(M75,0),M76+M61+M73),0)</f>
        <v>0</v>
      </c>
      <c r="N77" s="57" t="n">
        <f aca="false">IF(N5&gt;=Inputs!$C$62,MIN(MAX(N75,0),N76+N61+N73),0)</f>
        <v>0</v>
      </c>
      <c r="O77" s="57" t="n">
        <f aca="false">IF(O5&gt;=Inputs!$C$62,MIN(MAX(O75,0),O76+O61+O73),0)</f>
        <v>0</v>
      </c>
      <c r="P77" s="57" t="n">
        <f aca="false">IF(P5&gt;=Inputs!$C$62,MIN(MAX(P75,0),P76+P61+P73),0)</f>
        <v>15.8487825339581</v>
      </c>
      <c r="Q77" s="57" t="n">
        <f aca="false">IF(Q5&gt;=Inputs!$C$62,MIN(MAX(Q75,0),Q76+Q61+Q73),0)</f>
        <v>4.71954551454615</v>
      </c>
      <c r="R77" s="57" t="n">
        <f aca="false">IF(R5&gt;=Inputs!$C$62,MIN(MAX(R75,0),R76+R61+R73),0)</f>
        <v>4.71954551454615</v>
      </c>
      <c r="S77" s="57" t="n">
        <f aca="false">IF(S5&gt;=Inputs!$C$62,MIN(MAX(S75,0),S76+S61+S73),0)</f>
        <v>4.71954551454615</v>
      </c>
      <c r="T77" s="57" t="n">
        <f aca="false">IF(T5&gt;=Inputs!$C$62,MIN(MAX(T75,0),T76+T61+T73),0)</f>
        <v>4.50502071843041</v>
      </c>
      <c r="U77" s="57" t="n">
        <f aca="false">IF(U5&gt;=Inputs!$C$62,MIN(MAX(U75,0),U76+U61+U73),0)</f>
        <v>0</v>
      </c>
      <c r="V77" s="57" t="n">
        <f aca="false">IF(V5&gt;=Inputs!$C$62,MIN(MAX(V75,0),V76+V61+V73),0)</f>
        <v>0</v>
      </c>
      <c r="W77" s="57" t="n">
        <f aca="false">IF(W5&gt;=Inputs!$C$62,MIN(MAX(W75,0),W76+W61+W73),0)</f>
        <v>0</v>
      </c>
      <c r="X77" s="57" t="n">
        <f aca="false">IF(X5&gt;=Inputs!$C$62,MIN(MAX(X75,0),X76+X61+X73),0)</f>
        <v>0</v>
      </c>
      <c r="Y77" s="57" t="n">
        <f aca="false">IF(Y5&gt;=Inputs!$C$62,MIN(MAX(Y75,0),Y76+Y61+Y73),0)</f>
        <v>0</v>
      </c>
      <c r="Z77" s="57" t="n">
        <f aca="false">IF(Z5&gt;=Inputs!$C$62,MIN(MAX(Z75,0),Z76+Z61+Z73),0)</f>
        <v>0</v>
      </c>
      <c r="AA77" s="57" t="n">
        <f aca="false">IF(AA5&gt;=Inputs!$C$62,MIN(MAX(AA75,0),AA76+AA61+AA73),0)</f>
        <v>0</v>
      </c>
      <c r="AB77" s="57" t="n">
        <f aca="false">IF(AB5&gt;=Inputs!$C$62,MIN(MAX(AB75,0),AB76+AB61+AB73),0)</f>
        <v>0</v>
      </c>
      <c r="AC77" s="57" t="n">
        <f aca="false">IF(AC5&gt;=Inputs!$C$62,MIN(MAX(AC75,0),AC76+AC61+AC73),0)</f>
        <v>0</v>
      </c>
      <c r="AD77" s="57" t="n">
        <f aca="false">IF(AD5&gt;=Inputs!$C$62,MIN(MAX(AD75,0),AD76+AD61+AD73),0)</f>
        <v>0</v>
      </c>
    </row>
    <row r="78" customFormat="false" ht="15" hidden="false" customHeight="true" outlineLevel="0" collapsed="false">
      <c r="B78" s="4" t="s">
        <v>755</v>
      </c>
      <c r="C78" s="3" t="s">
        <v>297</v>
      </c>
      <c r="E78" s="57" t="n">
        <f aca="false">E76+E61+E73-E77-E80</f>
        <v>8.2299948407357</v>
      </c>
      <c r="F78" s="57" t="n">
        <f aca="false">F76+F61+F73-F77-F80</f>
        <v>8.2299948407357</v>
      </c>
      <c r="G78" s="57" t="n">
        <f aca="false">G76+G61+G73-G77-G80</f>
        <v>8.2299948407357</v>
      </c>
      <c r="H78" s="57" t="n">
        <f aca="false">H76+H61+H73-H77-H80</f>
        <v>8.2299948407357</v>
      </c>
      <c r="I78" s="57" t="n">
        <f aca="false">I76+I61+I73-I77-I80</f>
        <v>8.2299948407357</v>
      </c>
      <c r="J78" s="57" t="n">
        <f aca="false">J76+J61+J73-J77-J80</f>
        <v>8.2299948407357</v>
      </c>
      <c r="K78" s="57" t="n">
        <f aca="false">K76+K61+K73-K77-K80</f>
        <v>8.2299948407357</v>
      </c>
      <c r="L78" s="57" t="n">
        <f aca="false">L76+L61+L73-L77-L80</f>
        <v>8.2299948407357</v>
      </c>
      <c r="M78" s="57" t="n">
        <f aca="false">M76+M61+M73-M77-M80</f>
        <v>8.2299948407357</v>
      </c>
      <c r="N78" s="57" t="n">
        <f aca="false">N76+N61+N73-N77-N80</f>
        <v>8.2299948407357</v>
      </c>
      <c r="O78" s="57" t="n">
        <f aca="false">O76+O61+O73-O77-O80</f>
        <v>34.512439796027</v>
      </c>
      <c r="P78" s="57" t="n">
        <f aca="false">P76+P61+P73-P77-P80</f>
        <v>18.6636572620689</v>
      </c>
      <c r="Q78" s="57" t="n">
        <f aca="false">Q76+Q61+Q73-Q77-Q80</f>
        <v>13.9441117475227</v>
      </c>
      <c r="R78" s="57" t="n">
        <f aca="false">R76+R61+R73-R77-R80</f>
        <v>9.22456623297656</v>
      </c>
      <c r="S78" s="57" t="n">
        <f aca="false">S76+S61+S73-S77-S80</f>
        <v>4.50502071843041</v>
      </c>
      <c r="T78" s="57" t="n">
        <f aca="false">T76+T61+T73-T77-T80</f>
        <v>0</v>
      </c>
      <c r="U78" s="57" t="n">
        <f aca="false">U76+U61+U73-U77-U80</f>
        <v>0</v>
      </c>
      <c r="V78" s="57" t="n">
        <f aca="false">V76+V61+V73-V77-V80</f>
        <v>0</v>
      </c>
      <c r="W78" s="57" t="n">
        <f aca="false">W76+W61+W73-W77-W80</f>
        <v>0</v>
      </c>
      <c r="X78" s="57" t="n">
        <f aca="false">X76+X61+X73-X77-X80</f>
        <v>0</v>
      </c>
      <c r="Y78" s="57" t="n">
        <f aca="false">Y76+Y61+Y73-Y77-Y80</f>
        <v>0</v>
      </c>
      <c r="Z78" s="57" t="n">
        <f aca="false">Z76+Z61+Z73-Z77-Z80</f>
        <v>0</v>
      </c>
      <c r="AA78" s="57" t="n">
        <f aca="false">AA76+AA61+AA73-AA77-AA80</f>
        <v>0</v>
      </c>
      <c r="AB78" s="57" t="n">
        <f aca="false">AB76+AB61+AB73-AB77-AB80</f>
        <v>0</v>
      </c>
      <c r="AC78" s="57" t="n">
        <f aca="false">AC76+AC61+AC73-AC77-AC80</f>
        <v>0</v>
      </c>
      <c r="AD78" s="57" t="n">
        <f aca="false">AD76+AD61+AD73-AD77-AD80</f>
        <v>0</v>
      </c>
    </row>
    <row r="79" customFormat="false" ht="15" hidden="false" customHeight="true" outlineLevel="0" collapsed="false">
      <c r="B79" s="4" t="s">
        <v>756</v>
      </c>
      <c r="C79" s="3" t="s">
        <v>297</v>
      </c>
      <c r="E79" s="57" t="n">
        <f aca="false">E75-E77</f>
        <v>0</v>
      </c>
      <c r="F79" s="57" t="n">
        <f aca="false">F75-F77</f>
        <v>0</v>
      </c>
      <c r="G79" s="57" t="n">
        <f aca="false">G75-G77</f>
        <v>0.532525643080741</v>
      </c>
      <c r="H79" s="57" t="n">
        <f aca="false">H75-H77</f>
        <v>1.04815484077985</v>
      </c>
      <c r="I79" s="57" t="n">
        <f aca="false">I75-I77</f>
        <v>1.54695517887885</v>
      </c>
      <c r="J79" s="57" t="n">
        <f aca="false">J75-J77</f>
        <v>2.02899397281615</v>
      </c>
      <c r="K79" s="57" t="n">
        <f aca="false">K75-K77</f>
        <v>2.49433826876839</v>
      </c>
      <c r="L79" s="57" t="n">
        <f aca="false">L75-L77</f>
        <v>2.94305484472751</v>
      </c>
      <c r="M79" s="57" t="n">
        <f aca="false">M75-M77</f>
        <v>3.37521021157349</v>
      </c>
      <c r="N79" s="57" t="n">
        <f aca="false">N75-N77</f>
        <v>3.79087061414276</v>
      </c>
      <c r="O79" s="57" t="n">
        <f aca="false">O75-O77</f>
        <v>8.50572826970247</v>
      </c>
      <c r="P79" s="57" t="n">
        <f aca="false">P75-P77</f>
        <v>0</v>
      </c>
      <c r="Q79" s="57" t="n">
        <f aca="false">Q75-Q77</f>
        <v>0</v>
      </c>
      <c r="R79" s="57" t="n">
        <f aca="false">R75-R77</f>
        <v>0</v>
      </c>
      <c r="S79" s="57" t="n">
        <f aca="false">S75-S77</f>
        <v>0</v>
      </c>
      <c r="T79" s="57" t="n">
        <f aca="false">T75-T77</f>
        <v>0</v>
      </c>
      <c r="U79" s="57" t="n">
        <f aca="false">U75-U77</f>
        <v>0</v>
      </c>
      <c r="V79" s="57" t="n">
        <f aca="false">V75-V77</f>
        <v>0</v>
      </c>
      <c r="W79" s="57" t="n">
        <f aca="false">W75-W77</f>
        <v>0</v>
      </c>
      <c r="X79" s="57" t="n">
        <f aca="false">X75-X77</f>
        <v>0</v>
      </c>
      <c r="Y79" s="57" t="n">
        <f aca="false">Y75-Y77</f>
        <v>0</v>
      </c>
      <c r="Z79" s="57" t="n">
        <f aca="false">Z75-Z77</f>
        <v>0</v>
      </c>
      <c r="AA79" s="57" t="n">
        <f aca="false">AA75-AA77</f>
        <v>0</v>
      </c>
      <c r="AB79" s="57" t="n">
        <f aca="false">AB75-AB77</f>
        <v>0</v>
      </c>
      <c r="AC79" s="57" t="n">
        <f aca="false">AC75-AC77</f>
        <v>0</v>
      </c>
      <c r="AD79" s="57" t="n">
        <f aca="false">AD75-AD77</f>
        <v>0</v>
      </c>
    </row>
    <row r="80" customFormat="false" ht="15" hidden="false" customHeight="true" outlineLevel="0" collapsed="false">
      <c r="B80" s="40" t="s">
        <v>757</v>
      </c>
      <c r="C80" s="3" t="s">
        <v>297</v>
      </c>
      <c r="D80" s="59" t="n">
        <f aca="false">SUM(E80:AD80)</f>
        <v>0</v>
      </c>
      <c r="E80" s="57" t="n">
        <f aca="false">IF(E5=Inputs!$C$17,E79,0)</f>
        <v>0</v>
      </c>
      <c r="F80" s="57" t="n">
        <f aca="false">IF(F5=Inputs!$C$17,F79,0)</f>
        <v>0</v>
      </c>
      <c r="G80" s="57" t="n">
        <f aca="false">IF(G5=Inputs!$C$17,G79,0)</f>
        <v>0</v>
      </c>
      <c r="H80" s="57" t="n">
        <f aca="false">IF(H5=Inputs!$C$17,H79,0)</f>
        <v>0</v>
      </c>
      <c r="I80" s="57" t="n">
        <f aca="false">IF(I5=Inputs!$C$17,I79,0)</f>
        <v>0</v>
      </c>
      <c r="J80" s="57" t="n">
        <f aca="false">IF(J5=Inputs!$C$17,J79,0)</f>
        <v>0</v>
      </c>
      <c r="K80" s="57" t="n">
        <f aca="false">IF(K5=Inputs!$C$17,K79,0)</f>
        <v>0</v>
      </c>
      <c r="L80" s="57" t="n">
        <f aca="false">IF(L5=Inputs!$C$17,L79,0)</f>
        <v>0</v>
      </c>
      <c r="M80" s="57" t="n">
        <f aca="false">IF(M5=Inputs!$C$17,M79,0)</f>
        <v>0</v>
      </c>
      <c r="N80" s="57" t="n">
        <f aca="false">IF(N5=Inputs!$C$17,N79,0)</f>
        <v>0</v>
      </c>
      <c r="O80" s="57" t="n">
        <f aca="false">IF(O5=Inputs!$C$17,O79,0)</f>
        <v>0</v>
      </c>
      <c r="P80" s="57" t="n">
        <f aca="false">IF(P5=Inputs!$C$17,P79,0)</f>
        <v>0</v>
      </c>
      <c r="Q80" s="57" t="n">
        <f aca="false">IF(Q5=Inputs!$C$17,Q79,0)</f>
        <v>0</v>
      </c>
      <c r="R80" s="57" t="n">
        <f aca="false">IF(R5=Inputs!$C$17,R79,0)</f>
        <v>0</v>
      </c>
      <c r="S80" s="57" t="n">
        <f aca="false">IF(S5=Inputs!$C$17,S79,0)</f>
        <v>0</v>
      </c>
      <c r="T80" s="57" t="n">
        <f aca="false">IF(T5=Inputs!$C$17,T79,0)</f>
        <v>0</v>
      </c>
      <c r="U80" s="57" t="n">
        <f aca="false">IF(U5=Inputs!$C$17,U79,0)</f>
        <v>0</v>
      </c>
      <c r="V80" s="57" t="n">
        <f aca="false">IF(V5=Inputs!$C$17,V79,0)</f>
        <v>0</v>
      </c>
      <c r="W80" s="57" t="n">
        <f aca="false">IF(W5=Inputs!$C$17,W79,0)</f>
        <v>0</v>
      </c>
      <c r="X80" s="57" t="n">
        <f aca="false">IF(X5=Inputs!$C$17,X79,0)</f>
        <v>0</v>
      </c>
      <c r="Y80" s="57" t="n">
        <f aca="false">IF(Y5=Inputs!$C$17,Y79,0)</f>
        <v>0</v>
      </c>
      <c r="Z80" s="57" t="n">
        <f aca="false">IF(Z5=Inputs!$C$17,Z79,0)</f>
        <v>0</v>
      </c>
      <c r="AA80" s="57" t="n">
        <f aca="false">IF(AA5=Inputs!$C$17,AA79,0)</f>
        <v>0</v>
      </c>
      <c r="AB80" s="57" t="n">
        <f aca="false">IF(AB5=Inputs!$C$17,AB79,0)</f>
        <v>0</v>
      </c>
      <c r="AC80" s="57" t="n">
        <f aca="false">IF(AC5=Inputs!$C$17,AC79,0)</f>
        <v>0</v>
      </c>
      <c r="AD80" s="57" t="n">
        <f aca="false">IF(AD5=Inputs!$C$17,AD79,0)</f>
        <v>0</v>
      </c>
    </row>
    <row r="81" customFormat="false" ht="15" hidden="false" customHeight="true" outlineLevel="0" collapsed="false">
      <c r="B81" s="4" t="s">
        <v>758</v>
      </c>
      <c r="C81" s="3" t="s">
        <v>297</v>
      </c>
      <c r="D81" s="59" t="n">
        <f aca="false">MAX(E81:AD81)</f>
        <v>8.50572826970247</v>
      </c>
      <c r="E81" s="57" t="n">
        <f aca="false">E79-E80</f>
        <v>0</v>
      </c>
      <c r="F81" s="57" t="n">
        <f aca="false">F79-F80</f>
        <v>0</v>
      </c>
      <c r="G81" s="57" t="n">
        <f aca="false">G79-G80</f>
        <v>0.532525643080741</v>
      </c>
      <c r="H81" s="57" t="n">
        <f aca="false">H79-H80</f>
        <v>1.04815484077985</v>
      </c>
      <c r="I81" s="57" t="n">
        <f aca="false">I79-I80</f>
        <v>1.54695517887885</v>
      </c>
      <c r="J81" s="57" t="n">
        <f aca="false">J79-J80</f>
        <v>2.02899397281615</v>
      </c>
      <c r="K81" s="57" t="n">
        <f aca="false">K79-K80</f>
        <v>2.49433826876839</v>
      </c>
      <c r="L81" s="57" t="n">
        <f aca="false">L79-L80</f>
        <v>2.94305484472751</v>
      </c>
      <c r="M81" s="57" t="n">
        <f aca="false">M79-M80</f>
        <v>3.37521021157349</v>
      </c>
      <c r="N81" s="57" t="n">
        <f aca="false">N79-N80</f>
        <v>3.79087061414276</v>
      </c>
      <c r="O81" s="57" t="n">
        <f aca="false">O79-O80</f>
        <v>8.50572826970247</v>
      </c>
      <c r="P81" s="57" t="n">
        <f aca="false">P79-P80</f>
        <v>0</v>
      </c>
      <c r="Q81" s="57" t="n">
        <f aca="false">Q79-Q80</f>
        <v>0</v>
      </c>
      <c r="R81" s="57" t="n">
        <f aca="false">R79-R80</f>
        <v>0</v>
      </c>
      <c r="S81" s="57" t="n">
        <f aca="false">S79-S80</f>
        <v>0</v>
      </c>
      <c r="T81" s="57" t="n">
        <f aca="false">T79-T80</f>
        <v>0</v>
      </c>
      <c r="U81" s="57" t="n">
        <f aca="false">U79-U80</f>
        <v>0</v>
      </c>
      <c r="V81" s="57" t="n">
        <f aca="false">V79-V80</f>
        <v>0</v>
      </c>
      <c r="W81" s="57" t="n">
        <f aca="false">W79-W80</f>
        <v>0</v>
      </c>
      <c r="X81" s="57" t="n">
        <f aca="false">X79-X80</f>
        <v>0</v>
      </c>
      <c r="Y81" s="57" t="n">
        <f aca="false">Y79-Y80</f>
        <v>0</v>
      </c>
      <c r="Z81" s="57" t="n">
        <f aca="false">Z79-Z80</f>
        <v>0</v>
      </c>
      <c r="AA81" s="57" t="n">
        <f aca="false">AA79-AA80</f>
        <v>0</v>
      </c>
      <c r="AB81" s="57" t="n">
        <f aca="false">AB79-AB80</f>
        <v>0</v>
      </c>
      <c r="AC81" s="57" t="n">
        <f aca="false">AC79-AC80</f>
        <v>0</v>
      </c>
      <c r="AD81" s="57" t="n">
        <f aca="false">AD79-AD80</f>
        <v>0</v>
      </c>
    </row>
    <row r="82" customFormat="false" ht="15" hidden="false" customHeight="true" outlineLevel="0" collapsed="false">
      <c r="B82" s="21" t="s">
        <v>759</v>
      </c>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row>
    <row r="83" customFormat="false" ht="15" hidden="false" customHeight="true" outlineLevel="0" collapsed="false">
      <c r="B83" s="40" t="s">
        <v>760</v>
      </c>
      <c r="C83" s="3" t="s">
        <v>297</v>
      </c>
      <c r="D83" s="59" t="n">
        <f aca="false">SUM(E83:AD83)</f>
        <v>169.50738426686</v>
      </c>
      <c r="E83" s="57" t="n">
        <f aca="false">E65+E69+E72+E77+E80</f>
        <v>0</v>
      </c>
      <c r="F83" s="57" t="n">
        <f aca="false">F65+F69+F72+F77+F80</f>
        <v>2.14090849965078</v>
      </c>
      <c r="G83" s="57" t="n">
        <f aca="false">G65+G69+G72+G77+G80</f>
        <v>3.15389339463495</v>
      </c>
      <c r="H83" s="57" t="n">
        <f aca="false">H65+H69+H72+H77+H80</f>
        <v>3.15389339463495</v>
      </c>
      <c r="I83" s="57" t="n">
        <f aca="false">I65+I69+I72+I77+I80</f>
        <v>3.15389339463495</v>
      </c>
      <c r="J83" s="57" t="n">
        <f aca="false">J65+J69+J72+J77+J80</f>
        <v>3.15389339463495</v>
      </c>
      <c r="K83" s="57" t="n">
        <f aca="false">K65+K69+K72+K77+K80</f>
        <v>3.15389339463495</v>
      </c>
      <c r="L83" s="57" t="n">
        <f aca="false">L65+L69+L72+L77+L80</f>
        <v>3.15389339463495</v>
      </c>
      <c r="M83" s="57" t="n">
        <f aca="false">M65+M69+M72+M77+M80</f>
        <v>3.15389339463495</v>
      </c>
      <c r="N83" s="57" t="n">
        <f aca="false">N65+N69+N72+N77+N80</f>
        <v>3.15389339463495</v>
      </c>
      <c r="O83" s="57" t="n">
        <f aca="false">O65+O69+O72+O77+O80</f>
        <v>3.15389339463495</v>
      </c>
      <c r="P83" s="57" t="n">
        <f aca="false">P65+P69+P72+P77+P80</f>
        <v>20.652895168491</v>
      </c>
      <c r="Q83" s="57" t="n">
        <f aca="false">Q65+Q69+Q72+Q77+Q80</f>
        <v>6.20425823119339</v>
      </c>
      <c r="R83" s="57" t="n">
        <f aca="false">R65+R69+R72+R77+R80</f>
        <v>10.0189078736879</v>
      </c>
      <c r="S83" s="57" t="n">
        <f aca="false">S65+S69+S72+S77+S80</f>
        <v>9.32498358805201</v>
      </c>
      <c r="T83" s="57" t="n">
        <f aca="false">T65+T69+T72+T77+T80</f>
        <v>9.13636771540481</v>
      </c>
      <c r="U83" s="57" t="n">
        <f aca="false">U65+U69+U72+U77+U80</f>
        <v>9.00624294460621</v>
      </c>
      <c r="V83" s="57" t="n">
        <f aca="false">V65+V69+V72+V77+V80</f>
        <v>8.91128065590559</v>
      </c>
      <c r="W83" s="57" t="n">
        <f aca="false">W65+W69+W72+W77+W80</f>
        <v>8.83748340616865</v>
      </c>
      <c r="X83" s="57" t="n">
        <f aca="false">X65+X69+X72+X77+X80</f>
        <v>8.77645245931598</v>
      </c>
      <c r="Y83" s="57" t="n">
        <f aca="false">Y65+Y69+Y72+Y77+Y80</f>
        <v>8.72314830458193</v>
      </c>
      <c r="Z83" s="57" t="n">
        <f aca="false">Z65+Z69+Z72+Z77+Z80</f>
        <v>8.67454696746552</v>
      </c>
      <c r="AA83" s="57" t="n">
        <f aca="false">AA65+AA69+AA72+AA77+AA80</f>
        <v>8.62883379629681</v>
      </c>
      <c r="AB83" s="57" t="n">
        <f aca="false">AB65+AB69+AB72+AB77+AB80</f>
        <v>8.58491973417232</v>
      </c>
      <c r="AC83" s="57" t="n">
        <f aca="false">AC65+AC69+AC72+AC77+AC80</f>
        <v>8.54215108211205</v>
      </c>
      <c r="AD83" s="57" t="n">
        <f aca="false">AD65+AD69+AD72+AD77+AD80</f>
        <v>4.95896328804005</v>
      </c>
    </row>
    <row r="84" customFormat="false" ht="15" hidden="false" customHeight="true" outlineLevel="0" collapsed="false">
      <c r="B84" s="4" t="s">
        <v>761</v>
      </c>
      <c r="C84" s="3" t="s">
        <v>297</v>
      </c>
      <c r="D84" s="59" t="n">
        <f aca="false">SUM(E84:AD84)</f>
        <v>-32.2849656049047</v>
      </c>
      <c r="E84" s="57" t="n">
        <f aca="false">-(E61+E63)</f>
        <v>-32.2849656049047</v>
      </c>
      <c r="F84" s="57" t="n">
        <f aca="false">-(F61+F63)</f>
        <v>-0</v>
      </c>
      <c r="G84" s="57" t="n">
        <f aca="false">-(G61+G63)</f>
        <v>-0</v>
      </c>
      <c r="H84" s="57" t="n">
        <f aca="false">-(H61+H63)</f>
        <v>-0</v>
      </c>
      <c r="I84" s="57" t="n">
        <f aca="false">-(I61+I63)</f>
        <v>-0</v>
      </c>
      <c r="J84" s="57" t="n">
        <f aca="false">-(J61+J63)</f>
        <v>-0</v>
      </c>
      <c r="K84" s="57" t="n">
        <f aca="false">-(K61+K63)</f>
        <v>-0</v>
      </c>
      <c r="L84" s="57" t="n">
        <f aca="false">-(L61+L63)</f>
        <v>-0</v>
      </c>
      <c r="M84" s="57" t="n">
        <f aca="false">-(M61+M63)</f>
        <v>-0</v>
      </c>
      <c r="N84" s="57" t="n">
        <f aca="false">-(N61+N63)</f>
        <v>-0</v>
      </c>
      <c r="O84" s="57" t="n">
        <f aca="false">-(O61+O63)</f>
        <v>-0</v>
      </c>
      <c r="P84" s="57" t="n">
        <f aca="false">-(P61+P63)</f>
        <v>-0</v>
      </c>
      <c r="Q84" s="57" t="n">
        <f aca="false">-(Q61+Q63)</f>
        <v>-0</v>
      </c>
      <c r="R84" s="57" t="n">
        <f aca="false">-(R61+R63)</f>
        <v>-0</v>
      </c>
      <c r="S84" s="57" t="n">
        <f aca="false">-(S61+S63)</f>
        <v>-0</v>
      </c>
      <c r="T84" s="57" t="n">
        <f aca="false">-(T61+T63)</f>
        <v>-0</v>
      </c>
      <c r="U84" s="57" t="n">
        <f aca="false">-(U61+U63)</f>
        <v>-0</v>
      </c>
      <c r="V84" s="57" t="n">
        <f aca="false">-(V61+V63)</f>
        <v>-0</v>
      </c>
      <c r="W84" s="57" t="n">
        <f aca="false">-(W61+W63)</f>
        <v>-0</v>
      </c>
      <c r="X84" s="57" t="n">
        <f aca="false">-(X61+X63)</f>
        <v>-0</v>
      </c>
      <c r="Y84" s="57" t="n">
        <f aca="false">-(Y61+Y63)</f>
        <v>-0</v>
      </c>
      <c r="Z84" s="57" t="n">
        <f aca="false">-(Z61+Z63)</f>
        <v>-0</v>
      </c>
      <c r="AA84" s="57" t="n">
        <f aca="false">-(AA61+AA63)</f>
        <v>-0</v>
      </c>
      <c r="AB84" s="57" t="n">
        <f aca="false">-(AB61+AB63)</f>
        <v>-0</v>
      </c>
      <c r="AC84" s="57" t="n">
        <f aca="false">-(AC61+AC63)</f>
        <v>-0</v>
      </c>
      <c r="AD84" s="57" t="n">
        <f aca="false">-(AD61+AD63)</f>
        <v>-0</v>
      </c>
    </row>
    <row r="85" customFormat="false" ht="15" hidden="false" customHeight="true" outlineLevel="0" collapsed="false">
      <c r="B85" s="40" t="s">
        <v>762</v>
      </c>
      <c r="C85" s="3" t="s">
        <v>297</v>
      </c>
      <c r="D85" s="59" t="n">
        <f aca="false">SUM(E85:AD85)</f>
        <v>137.222418661955</v>
      </c>
      <c r="E85" s="57" t="n">
        <f aca="false">E83+E84</f>
        <v>-32.2849656049047</v>
      </c>
      <c r="F85" s="57" t="n">
        <f aca="false">F83+F84</f>
        <v>2.14090849965078</v>
      </c>
      <c r="G85" s="57" t="n">
        <f aca="false">G83+G84</f>
        <v>3.15389339463495</v>
      </c>
      <c r="H85" s="57" t="n">
        <f aca="false">H83+H84</f>
        <v>3.15389339463495</v>
      </c>
      <c r="I85" s="57" t="n">
        <f aca="false">I83+I84</f>
        <v>3.15389339463495</v>
      </c>
      <c r="J85" s="57" t="n">
        <f aca="false">J83+J84</f>
        <v>3.15389339463495</v>
      </c>
      <c r="K85" s="57" t="n">
        <f aca="false">K83+K84</f>
        <v>3.15389339463495</v>
      </c>
      <c r="L85" s="57" t="n">
        <f aca="false">L83+L84</f>
        <v>3.15389339463495</v>
      </c>
      <c r="M85" s="57" t="n">
        <f aca="false">M83+M84</f>
        <v>3.15389339463495</v>
      </c>
      <c r="N85" s="57" t="n">
        <f aca="false">N83+N84</f>
        <v>3.15389339463495</v>
      </c>
      <c r="O85" s="57" t="n">
        <f aca="false">O83+O84</f>
        <v>3.15389339463495</v>
      </c>
      <c r="P85" s="57" t="n">
        <f aca="false">P83+P84</f>
        <v>20.652895168491</v>
      </c>
      <c r="Q85" s="57" t="n">
        <f aca="false">Q83+Q84</f>
        <v>6.20425823119339</v>
      </c>
      <c r="R85" s="57" t="n">
        <f aca="false">R83+R84</f>
        <v>10.0189078736879</v>
      </c>
      <c r="S85" s="57" t="n">
        <f aca="false">S83+S84</f>
        <v>9.32498358805201</v>
      </c>
      <c r="T85" s="57" t="n">
        <f aca="false">T83+T84</f>
        <v>9.13636771540481</v>
      </c>
      <c r="U85" s="57" t="n">
        <f aca="false">U83+U84</f>
        <v>9.00624294460621</v>
      </c>
      <c r="V85" s="57" t="n">
        <f aca="false">V83+V84</f>
        <v>8.91128065590559</v>
      </c>
      <c r="W85" s="57" t="n">
        <f aca="false">W83+W84</f>
        <v>8.83748340616865</v>
      </c>
      <c r="X85" s="57" t="n">
        <f aca="false">X83+X84</f>
        <v>8.77645245931598</v>
      </c>
      <c r="Y85" s="57" t="n">
        <f aca="false">Y83+Y84</f>
        <v>8.72314830458193</v>
      </c>
      <c r="Z85" s="57" t="n">
        <f aca="false">Z83+Z84</f>
        <v>8.67454696746552</v>
      </c>
      <c r="AA85" s="57" t="n">
        <f aca="false">AA83+AA84</f>
        <v>8.62883379629681</v>
      </c>
      <c r="AB85" s="57" t="n">
        <f aca="false">AB83+AB84</f>
        <v>8.58491973417232</v>
      </c>
      <c r="AC85" s="57" t="n">
        <f aca="false">AC83+AC84</f>
        <v>8.54215108211205</v>
      </c>
      <c r="AD85" s="57" t="n">
        <f aca="false">AD83+AD84</f>
        <v>4.95896328804005</v>
      </c>
    </row>
    <row r="86" customFormat="false" ht="15" hidden="false" customHeight="true" outlineLevel="0" collapsed="false">
      <c r="B86" s="4" t="s">
        <v>763</v>
      </c>
      <c r="C86" s="3" t="s">
        <v>297</v>
      </c>
      <c r="D86" s="59" t="n">
        <f aca="false">SUM(E86:AD86)</f>
        <v>137.222418661955</v>
      </c>
      <c r="E86" s="57" t="n">
        <f aca="false">E57+E84</f>
        <v>-32.2849656049047</v>
      </c>
      <c r="F86" s="57" t="n">
        <f aca="false">F57+F84</f>
        <v>2.14090849965078</v>
      </c>
      <c r="G86" s="57" t="n">
        <f aca="false">G57+G84</f>
        <v>3.68641903771569</v>
      </c>
      <c r="H86" s="57" t="n">
        <f aca="false">H57+H84</f>
        <v>3.66952259233406</v>
      </c>
      <c r="I86" s="57" t="n">
        <f aca="false">I57+I84</f>
        <v>3.65269373273396</v>
      </c>
      <c r="J86" s="57" t="n">
        <f aca="false">J57+J84</f>
        <v>3.63593218857225</v>
      </c>
      <c r="K86" s="57" t="n">
        <f aca="false">K57+K84</f>
        <v>3.61923769058719</v>
      </c>
      <c r="L86" s="57" t="n">
        <f aca="false">L57+L84</f>
        <v>3.60260997059408</v>
      </c>
      <c r="M86" s="57" t="n">
        <f aca="false">M57+M84</f>
        <v>3.58604876148093</v>
      </c>
      <c r="N86" s="57" t="n">
        <f aca="false">N57+N84</f>
        <v>3.56955379720422</v>
      </c>
      <c r="O86" s="57" t="n">
        <f aca="false">O57+O84</f>
        <v>7.86875105019467</v>
      </c>
      <c r="P86" s="57" t="n">
        <f aca="false">P57+P84</f>
        <v>12.1471668987885</v>
      </c>
      <c r="Q86" s="57" t="n">
        <f aca="false">Q57+Q84</f>
        <v>6.20425823119339</v>
      </c>
      <c r="R86" s="57" t="n">
        <f aca="false">R57+R84</f>
        <v>10.0189078736879</v>
      </c>
      <c r="S86" s="57" t="n">
        <f aca="false">S57+S84</f>
        <v>9.32498358805201</v>
      </c>
      <c r="T86" s="57" t="n">
        <f aca="false">T57+T84</f>
        <v>9.13636771540481</v>
      </c>
      <c r="U86" s="57" t="n">
        <f aca="false">U57+U84</f>
        <v>9.00624294460621</v>
      </c>
      <c r="V86" s="57" t="n">
        <f aca="false">V57+V84</f>
        <v>8.91128065590559</v>
      </c>
      <c r="W86" s="57" t="n">
        <f aca="false">W57+W84</f>
        <v>8.83748340616865</v>
      </c>
      <c r="X86" s="57" t="n">
        <f aca="false">X57+X84</f>
        <v>8.77645245931598</v>
      </c>
      <c r="Y86" s="57" t="n">
        <f aca="false">Y57+Y84</f>
        <v>8.72314830458193</v>
      </c>
      <c r="Z86" s="57" t="n">
        <f aca="false">Z57+Z84</f>
        <v>8.67454696746552</v>
      </c>
      <c r="AA86" s="57" t="n">
        <f aca="false">AA57+AA84</f>
        <v>8.62883379629681</v>
      </c>
      <c r="AB86" s="57" t="n">
        <f aca="false">AB57+AB84</f>
        <v>8.58491973417232</v>
      </c>
      <c r="AC86" s="57" t="n">
        <f aca="false">AC57+AC84</f>
        <v>8.54215108211205</v>
      </c>
      <c r="AD86" s="57" t="n">
        <f aca="false">AD57+AD84</f>
        <v>4.95896328804005</v>
      </c>
    </row>
    <row r="87" customFormat="false" ht="15" hidden="false" customHeight="true" outlineLevel="0" collapsed="false">
      <c r="B87" s="4" t="s">
        <v>764</v>
      </c>
      <c r="C87" s="3" t="s">
        <v>297</v>
      </c>
      <c r="D87" s="59" t="n">
        <f aca="false">SUM(E87:AD87)</f>
        <v>215.497695989463</v>
      </c>
      <c r="E87" s="57" t="n">
        <f aca="false">-'Sources &amp; Uses'!$C$11+E16</f>
        <v>-74.82465</v>
      </c>
      <c r="F87" s="57" t="n">
        <f aca="false">F16-F49</f>
        <v>12.7392</v>
      </c>
      <c r="G87" s="57" t="n">
        <f aca="false">G16-G49</f>
        <v>12.6789232</v>
      </c>
      <c r="H87" s="57" t="n">
        <f aca="false">H16-H49</f>
        <v>12.6188875072</v>
      </c>
      <c r="I87" s="57" t="n">
        <f aca="false">I16-I49</f>
        <v>12.5590919571712</v>
      </c>
      <c r="J87" s="57" t="n">
        <f aca="false">J16-J49</f>
        <v>12.4995355893425</v>
      </c>
      <c r="K87" s="57" t="n">
        <f aca="false">K16-K49</f>
        <v>12.4402174469851</v>
      </c>
      <c r="L87" s="57" t="n">
        <f aca="false">L16-L49</f>
        <v>12.3811365771972</v>
      </c>
      <c r="M87" s="57" t="n">
        <f aca="false">M16-M49</f>
        <v>12.3222920308884</v>
      </c>
      <c r="N87" s="57" t="n">
        <f aca="false">N16-N49</f>
        <v>12.2636828627649</v>
      </c>
      <c r="O87" s="57" t="n">
        <f aca="false">O16-O49</f>
        <v>12.2053081313138</v>
      </c>
      <c r="P87" s="57" t="n">
        <f aca="false">P16-P49</f>
        <v>12.1471668987885</v>
      </c>
      <c r="Q87" s="57" t="n">
        <f aca="false">Q16-Q49</f>
        <v>6.20425823119339</v>
      </c>
      <c r="R87" s="57" t="n">
        <f aca="false">R16-R49</f>
        <v>12.0315811982686</v>
      </c>
      <c r="S87" s="57" t="n">
        <f aca="false">S16-S49</f>
        <v>11.9741348734755</v>
      </c>
      <c r="T87" s="57" t="n">
        <f aca="false">T16-T49</f>
        <v>11.9169183339816</v>
      </c>
      <c r="U87" s="57" t="n">
        <f aca="false">U16-U49</f>
        <v>11.8599306606457</v>
      </c>
      <c r="V87" s="57" t="n">
        <f aca="false">V16-V49</f>
        <v>11.8031709380031</v>
      </c>
      <c r="W87" s="57" t="n">
        <f aca="false">W16-W49</f>
        <v>11.7466382542511</v>
      </c>
      <c r="X87" s="57" t="n">
        <f aca="false">X16-X49</f>
        <v>11.6903317012341</v>
      </c>
      <c r="Y87" s="57" t="n">
        <f aca="false">Y16-Y49</f>
        <v>11.6342503744292</v>
      </c>
      <c r="Z87" s="57" t="n">
        <f aca="false">Z16-Z49</f>
        <v>11.5783933729315</v>
      </c>
      <c r="AA87" s="57" t="n">
        <f aca="false">AA16-AA49</f>
        <v>11.5227597994397</v>
      </c>
      <c r="AB87" s="57" t="n">
        <f aca="false">AB16-AB49</f>
        <v>11.467348760242</v>
      </c>
      <c r="AC87" s="57" t="n">
        <f aca="false">AC16-AC49</f>
        <v>11.412159365201</v>
      </c>
      <c r="AD87" s="57" t="n">
        <f aca="false">AD16-AD49</f>
        <v>6.62502792451512</v>
      </c>
    </row>
    <row r="89" customFormat="false" ht="15" hidden="false" customHeight="true" outlineLevel="0" collapsed="false">
      <c r="B89" s="21" t="s">
        <v>765</v>
      </c>
      <c r="C89" s="34"/>
      <c r="D89" s="34"/>
    </row>
    <row r="90" customFormat="false" ht="15" hidden="false" customHeight="true" outlineLevel="0" collapsed="false">
      <c r="B90" s="40" t="s">
        <v>766</v>
      </c>
      <c r="D90" s="47" t="n">
        <f aca="false">IRR(E85:AD85)</f>
        <v>0.141144122230697</v>
      </c>
    </row>
    <row r="91" customFormat="false" ht="15" hidden="false" customHeight="true" outlineLevel="0" collapsed="false">
      <c r="B91" s="40" t="s">
        <v>767</v>
      </c>
      <c r="D91" s="47" t="n">
        <f aca="false">IRR(E86:AD86)</f>
        <v>0.145645787089934</v>
      </c>
    </row>
    <row r="92" customFormat="false" ht="15" hidden="false" customHeight="true" outlineLevel="0" collapsed="false">
      <c r="B92" s="40" t="s">
        <v>768</v>
      </c>
      <c r="D92" s="47" t="n">
        <f aca="false">IRR(E87:AD87)</f>
        <v>0.159304348365746</v>
      </c>
    </row>
    <row r="93" customFormat="false" ht="15" hidden="false" customHeight="true" outlineLevel="0" collapsed="false">
      <c r="B93" s="40" t="s">
        <v>769</v>
      </c>
      <c r="D93" s="59" t="n">
        <f aca="false">E85+NPV(Inputs!$C$86,F85:AD85)</f>
        <v>-2.36148033836495</v>
      </c>
    </row>
    <row r="94" customFormat="false" ht="15" hidden="false" customHeight="true" outlineLevel="0" collapsed="false">
      <c r="B94" s="40" t="s">
        <v>770</v>
      </c>
      <c r="D94" s="44" t="n">
        <f aca="false">D83/-D84</f>
        <v>5.25035046780748</v>
      </c>
    </row>
    <row r="95" customFormat="false" ht="15" hidden="false" customHeight="true" outlineLevel="0" collapsed="false">
      <c r="B95" s="40" t="s">
        <v>42</v>
      </c>
      <c r="D95" s="59" t="n">
        <f aca="false">MAX(E81:AD81)</f>
        <v>8.50572826970247</v>
      </c>
    </row>
    <row r="96" customFormat="false" ht="15" hidden="false" customHeight="true" outlineLevel="0" collapsed="false">
      <c r="B96" s="40" t="s">
        <v>771</v>
      </c>
      <c r="D96" s="44" t="n">
        <f aca="false">AVERAGE(F31:AD31)</f>
        <v>1.40686515010054</v>
      </c>
    </row>
    <row r="98" customFormat="false" ht="15" hidden="false" customHeight="true" outlineLevel="0" collapsed="false">
      <c r="B98" s="21" t="s">
        <v>772</v>
      </c>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row>
    <row r="99" customFormat="false" ht="15" hidden="false" customHeight="true" outlineLevel="0" collapsed="false">
      <c r="B99" s="4" t="s">
        <v>773</v>
      </c>
      <c r="C99" s="3" t="s">
        <v>297</v>
      </c>
      <c r="E99" s="57" t="n">
        <f aca="false">E37+E56+E81</f>
        <v>85.5583298177468</v>
      </c>
      <c r="F99" s="57" t="n">
        <f aca="false">F37+F56+F81</f>
        <v>79.3762123502373</v>
      </c>
      <c r="G99" s="57" t="n">
        <f aca="false">G37+G56+G81</f>
        <v>72.1642324837437</v>
      </c>
      <c r="H99" s="57" t="n">
        <f aca="false">H37+H56+H81</f>
        <v>64.935442623266</v>
      </c>
      <c r="I99" s="57" t="n">
        <f aca="false">I37+I56+I81</f>
        <v>57.6899100087802</v>
      </c>
      <c r="J99" s="57" t="n">
        <f aca="false">J37+J56+J81</f>
        <v>53.4310487569227</v>
      </c>
      <c r="K99" s="57" t="n">
        <f aca="false">K37+K56+K81</f>
        <v>49.1555784252051</v>
      </c>
      <c r="L99" s="57" t="n">
        <f aca="false">L37+L56+L81</f>
        <v>44.863565449947</v>
      </c>
      <c r="M99" s="57" t="n">
        <f aca="false">M37+M56+M81</f>
        <v>40.5550760017223</v>
      </c>
      <c r="N99" s="57" t="n">
        <f aca="false">N37+N56+N81</f>
        <v>36.230175986423</v>
      </c>
      <c r="O99" s="57" t="n">
        <f aca="false">O37+O56+O81</f>
        <v>31.8889310463175</v>
      </c>
      <c r="P99" s="57" t="n">
        <f aca="false">P37+P56+P81</f>
        <v>18.6636572620689</v>
      </c>
      <c r="Q99" s="57" t="n">
        <f aca="false">Q37+Q56+Q81</f>
        <v>13.9441117475227</v>
      </c>
      <c r="R99" s="57" t="n">
        <f aca="false">R37+R56+R81</f>
        <v>9.22456623297656</v>
      </c>
      <c r="S99" s="57" t="n">
        <f aca="false">S37+S56+S81</f>
        <v>4.50502071843042</v>
      </c>
      <c r="T99" s="57" t="n">
        <f aca="false">T37+T56+T81</f>
        <v>0</v>
      </c>
      <c r="U99" s="57" t="n">
        <f aca="false">U37+U56+U81</f>
        <v>0</v>
      </c>
      <c r="V99" s="57" t="n">
        <f aca="false">V37+V56+V81</f>
        <v>0</v>
      </c>
      <c r="W99" s="57" t="n">
        <f aca="false">W37+W56+W81</f>
        <v>0</v>
      </c>
      <c r="X99" s="57" t="n">
        <f aca="false">X37+X56+X81</f>
        <v>0</v>
      </c>
      <c r="Y99" s="57" t="n">
        <f aca="false">Y37+Y56+Y81</f>
        <v>0</v>
      </c>
      <c r="Z99" s="57" t="n">
        <f aca="false">Z37+Z56+Z81</f>
        <v>0</v>
      </c>
      <c r="AA99" s="57" t="n">
        <f aca="false">AA37+AA56+AA81</f>
        <v>0</v>
      </c>
      <c r="AB99" s="57" t="n">
        <f aca="false">AB37+AB56+AB81</f>
        <v>0</v>
      </c>
      <c r="AC99" s="57" t="n">
        <f aca="false">AC37+AC56+AC81</f>
        <v>0</v>
      </c>
      <c r="AD99" s="57" t="n">
        <f aca="false">AD37+AD56+AD81</f>
        <v>0</v>
      </c>
    </row>
    <row r="100" customFormat="false" ht="15" hidden="false" customHeight="true" outlineLevel="0" collapsed="false">
      <c r="B100" s="4" t="s">
        <v>774</v>
      </c>
      <c r="C100" s="3" t="s">
        <v>297</v>
      </c>
      <c r="E100" s="57" t="n">
        <f aca="false">E29+E74</f>
        <v>78.9029469975872</v>
      </c>
      <c r="F100" s="57" t="n">
        <f aca="false">F29+F74</f>
        <v>76.3700015373337</v>
      </c>
      <c r="G100" s="57" t="n">
        <f aca="false">G29+G74</f>
        <v>72.6150779667559</v>
      </c>
      <c r="H100" s="57" t="n">
        <f aca="false">H29+H74</f>
        <v>68.5091131200834</v>
      </c>
      <c r="I100" s="57" t="n">
        <f aca="false">I29+I74</f>
        <v>64.015074760531</v>
      </c>
      <c r="J100" s="57" t="n">
        <f aca="false">J29+J74</f>
        <v>59.0920429580622</v>
      </c>
      <c r="K100" s="57" t="n">
        <f aca="false">K29+K74</f>
        <v>53.6948018788315</v>
      </c>
      <c r="L100" s="57" t="n">
        <f aca="false">L29+L74</f>
        <v>47.773388712529</v>
      </c>
      <c r="M100" s="57" t="n">
        <f aca="false">M29+M74</f>
        <v>41.272595237107</v>
      </c>
      <c r="N100" s="57" t="n">
        <f aca="false">N29+N74</f>
        <v>34.1314170478146</v>
      </c>
      <c r="O100" s="57" t="n">
        <f aca="false">O29+O74</f>
        <v>0</v>
      </c>
      <c r="P100" s="57" t="n">
        <f aca="false">P29+P74</f>
        <v>0</v>
      </c>
      <c r="Q100" s="57" t="n">
        <f aca="false">Q29+Q74</f>
        <v>0</v>
      </c>
      <c r="R100" s="57" t="n">
        <f aca="false">R29+R74</f>
        <v>0</v>
      </c>
      <c r="S100" s="57" t="n">
        <f aca="false">S29+S74</f>
        <v>0</v>
      </c>
      <c r="T100" s="57" t="n">
        <f aca="false">T29+T74</f>
        <v>0</v>
      </c>
      <c r="U100" s="57" t="n">
        <f aca="false">U29+U74</f>
        <v>0</v>
      </c>
      <c r="V100" s="57" t="n">
        <f aca="false">V29+V74</f>
        <v>0</v>
      </c>
      <c r="W100" s="57" t="n">
        <f aca="false">W29+W74</f>
        <v>0</v>
      </c>
      <c r="X100" s="57" t="n">
        <f aca="false">X29+X74</f>
        <v>0</v>
      </c>
      <c r="Y100" s="57" t="n">
        <f aca="false">Y29+Y74</f>
        <v>0</v>
      </c>
      <c r="Z100" s="57" t="n">
        <f aca="false">Z29+Z74</f>
        <v>0</v>
      </c>
      <c r="AA100" s="57" t="n">
        <f aca="false">AA29+AA74</f>
        <v>0</v>
      </c>
      <c r="AB100" s="57" t="n">
        <f aca="false">AB29+AB74</f>
        <v>0</v>
      </c>
      <c r="AC100" s="57" t="n">
        <f aca="false">AC29+AC74</f>
        <v>0</v>
      </c>
      <c r="AD100" s="57" t="n">
        <f aca="false">AD29+AD74</f>
        <v>0</v>
      </c>
    </row>
    <row r="101" customFormat="false" ht="15" hidden="false" customHeight="true" outlineLevel="0" collapsed="false">
      <c r="B101" s="4" t="s">
        <v>775</v>
      </c>
      <c r="C101" s="3" t="s">
        <v>297</v>
      </c>
      <c r="E101" s="57" t="n">
        <f aca="false">E78+E70</f>
        <v>6.65538282015964</v>
      </c>
      <c r="F101" s="57" t="n">
        <f aca="false">F78+F70</f>
        <v>3.00621081290359</v>
      </c>
      <c r="G101" s="57" t="n">
        <f aca="false">G78+G70</f>
        <v>-0.450845483012246</v>
      </c>
      <c r="H101" s="57" t="n">
        <f aca="false">H78+H70</f>
        <v>-3.57367049681741</v>
      </c>
      <c r="I101" s="57" t="n">
        <f aca="false">I78+I70</f>
        <v>-6.32516475175075</v>
      </c>
      <c r="J101" s="57" t="n">
        <f aca="false">J78+J70</f>
        <v>-5.6609942011395</v>
      </c>
      <c r="K101" s="57" t="n">
        <f aca="false">K78+K70</f>
        <v>-4.53922345362641</v>
      </c>
      <c r="L101" s="57" t="n">
        <f aca="false">L78+L70</f>
        <v>-2.90982326258203</v>
      </c>
      <c r="M101" s="57" t="n">
        <f aca="false">M78+M70</f>
        <v>-0.717519235384673</v>
      </c>
      <c r="N101" s="57" t="n">
        <f aca="false">N78+N70</f>
        <v>2.09875893860844</v>
      </c>
      <c r="O101" s="57" t="n">
        <f aca="false">O78+O70</f>
        <v>31.8889310463175</v>
      </c>
      <c r="P101" s="57" t="n">
        <f aca="false">P78+P70</f>
        <v>18.6636572620689</v>
      </c>
      <c r="Q101" s="57" t="n">
        <f aca="false">Q78+Q70</f>
        <v>13.9441117475227</v>
      </c>
      <c r="R101" s="57" t="n">
        <f aca="false">R78+R70</f>
        <v>9.22456623297656</v>
      </c>
      <c r="S101" s="57" t="n">
        <f aca="false">S78+S70</f>
        <v>4.50502071843041</v>
      </c>
      <c r="T101" s="57" t="n">
        <f aca="false">T78+T70</f>
        <v>0</v>
      </c>
      <c r="U101" s="57" t="n">
        <f aca="false">U78+U70</f>
        <v>0</v>
      </c>
      <c r="V101" s="57" t="n">
        <f aca="false">V78+V70</f>
        <v>0</v>
      </c>
      <c r="W101" s="57" t="n">
        <f aca="false">W78+W70</f>
        <v>0</v>
      </c>
      <c r="X101" s="57" t="n">
        <f aca="false">X78+X70</f>
        <v>0</v>
      </c>
      <c r="Y101" s="57" t="n">
        <f aca="false">Y78+Y70</f>
        <v>0</v>
      </c>
      <c r="Z101" s="57" t="n">
        <f aca="false">Z78+Z70</f>
        <v>0</v>
      </c>
      <c r="AA101" s="57" t="n">
        <f aca="false">AA78+AA70</f>
        <v>0</v>
      </c>
      <c r="AB101" s="57" t="n">
        <f aca="false">AB78+AB70</f>
        <v>0</v>
      </c>
      <c r="AC101" s="57" t="n">
        <f aca="false">AC78+AC70</f>
        <v>0</v>
      </c>
      <c r="AD101" s="57" t="n">
        <f aca="false">AD78+AD70</f>
        <v>0</v>
      </c>
    </row>
    <row r="102" customFormat="false" ht="15" hidden="false" customHeight="true" outlineLevel="0" collapsed="false">
      <c r="B102" s="4" t="s">
        <v>776</v>
      </c>
      <c r="C102" s="3" t="s">
        <v>297</v>
      </c>
      <c r="D102" s="59" t="n">
        <f aca="false">SUMPRODUCT(ABS(E102:AD102))</f>
        <v>2.48689957516035E-014</v>
      </c>
      <c r="E102" s="57" t="n">
        <f aca="false">E99-E100-E101</f>
        <v>0</v>
      </c>
      <c r="F102" s="57" t="n">
        <f aca="false">F99-F100-F101</f>
        <v>0</v>
      </c>
      <c r="G102" s="57" t="n">
        <f aca="false">G99-G100-G101</f>
        <v>1.59872115546023E-014</v>
      </c>
      <c r="H102" s="57" t="n">
        <f aca="false">H99-H100-H101</f>
        <v>0</v>
      </c>
      <c r="I102" s="57" t="n">
        <f aca="false">I99-I100-I101</f>
        <v>0</v>
      </c>
      <c r="J102" s="57" t="n">
        <f aca="false">J99-J100-J101</f>
        <v>0</v>
      </c>
      <c r="K102" s="57" t="n">
        <f aca="false">K99-K100-K101</f>
        <v>0</v>
      </c>
      <c r="L102" s="57" t="n">
        <f aca="false">L99-L100-L101</f>
        <v>0</v>
      </c>
      <c r="M102" s="57" t="n">
        <f aca="false">M99-M100-M101</f>
        <v>8.88178419700125E-015</v>
      </c>
      <c r="N102" s="57" t="n">
        <f aca="false">N99-N100-N101</f>
        <v>0</v>
      </c>
      <c r="O102" s="57" t="n">
        <f aca="false">O99-O100-O101</f>
        <v>0</v>
      </c>
      <c r="P102" s="57" t="n">
        <f aca="false">P99-P100-P101</f>
        <v>0</v>
      </c>
      <c r="Q102" s="57" t="n">
        <f aca="false">Q99-Q100-Q101</f>
        <v>0</v>
      </c>
      <c r="R102" s="57" t="n">
        <f aca="false">R99-R100-R101</f>
        <v>0</v>
      </c>
      <c r="S102" s="57" t="n">
        <f aca="false">S99-S100-S101</f>
        <v>0</v>
      </c>
      <c r="T102" s="57" t="n">
        <f aca="false">T99-T100-T101</f>
        <v>0</v>
      </c>
      <c r="U102" s="57" t="n">
        <f aca="false">U99-U100-U101</f>
        <v>0</v>
      </c>
      <c r="V102" s="57" t="n">
        <f aca="false">V99-V100-V101</f>
        <v>0</v>
      </c>
      <c r="W102" s="57" t="n">
        <f aca="false">W99-W100-W101</f>
        <v>0</v>
      </c>
      <c r="X102" s="57" t="n">
        <f aca="false">X99-X100-X101</f>
        <v>0</v>
      </c>
      <c r="Y102" s="57" t="n">
        <f aca="false">Y99-Y100-Y101</f>
        <v>0</v>
      </c>
      <c r="Z102" s="57" t="n">
        <f aca="false">Z99-Z100-Z101</f>
        <v>0</v>
      </c>
      <c r="AA102" s="57" t="n">
        <f aca="false">AA99-AA100-AA101</f>
        <v>0</v>
      </c>
      <c r="AB102" s="57" t="n">
        <f aca="false">AB99-AB100-AB101</f>
        <v>0</v>
      </c>
      <c r="AC102" s="57" t="n">
        <f aca="false">AC99-AC100-AC101</f>
        <v>0</v>
      </c>
      <c r="AD102" s="57" t="n">
        <f aca="false">AD99-AD100-AD101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D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7"/>
    <col collapsed="false" customWidth="true" hidden="false" outlineLevel="0" max="4" min="4" style="1" width="12"/>
    <col collapsed="false" customWidth="true" hidden="false" outlineLevel="0" max="30" min="5" style="1" width="9.52"/>
  </cols>
  <sheetData>
    <row r="1" customFormat="false" ht="17.25" hidden="false" customHeight="true" outlineLevel="0" collapsed="false">
      <c r="B1" s="2" t="s">
        <v>777</v>
      </c>
    </row>
    <row r="2" customFormat="false" ht="15" hidden="false" customHeight="true" outlineLevel="0" collapsed="false">
      <c r="B2" s="3" t="s">
        <v>682</v>
      </c>
    </row>
    <row r="4" customFormat="false" ht="15" hidden="false" customHeight="true" outlineLevel="0" collapsed="false">
      <c r="B4" s="21" t="s">
        <v>683</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row>
    <row r="5" customFormat="false" ht="15" hidden="false" customHeight="true" outlineLevel="0" collapsed="false">
      <c r="B5" s="4" t="s">
        <v>684</v>
      </c>
      <c r="C5" s="3"/>
      <c r="D5" s="40" t="s">
        <v>685</v>
      </c>
      <c r="E5" s="27" t="n">
        <v>0</v>
      </c>
      <c r="F5" s="24" t="n">
        <f aca="false">E5+1</f>
        <v>1</v>
      </c>
      <c r="G5" s="24" t="n">
        <f aca="false">F5+1</f>
        <v>2</v>
      </c>
      <c r="H5" s="24" t="n">
        <f aca="false">G5+1</f>
        <v>3</v>
      </c>
      <c r="I5" s="24" t="n">
        <f aca="false">H5+1</f>
        <v>4</v>
      </c>
      <c r="J5" s="24" t="n">
        <f aca="false">I5+1</f>
        <v>5</v>
      </c>
      <c r="K5" s="24" t="n">
        <f aca="false">J5+1</f>
        <v>6</v>
      </c>
      <c r="L5" s="24" t="n">
        <f aca="false">K5+1</f>
        <v>7</v>
      </c>
      <c r="M5" s="24" t="n">
        <f aca="false">L5+1</f>
        <v>8</v>
      </c>
      <c r="N5" s="24" t="n">
        <f aca="false">M5+1</f>
        <v>9</v>
      </c>
      <c r="O5" s="24" t="n">
        <f aca="false">N5+1</f>
        <v>10</v>
      </c>
      <c r="P5" s="24" t="n">
        <f aca="false">O5+1</f>
        <v>11</v>
      </c>
      <c r="Q5" s="24" t="n">
        <f aca="false">P5+1</f>
        <v>12</v>
      </c>
      <c r="R5" s="24" t="n">
        <f aca="false">Q5+1</f>
        <v>13</v>
      </c>
      <c r="S5" s="24" t="n">
        <f aca="false">R5+1</f>
        <v>14</v>
      </c>
      <c r="T5" s="24" t="n">
        <f aca="false">S5+1</f>
        <v>15</v>
      </c>
      <c r="U5" s="24" t="n">
        <f aca="false">T5+1</f>
        <v>16</v>
      </c>
      <c r="V5" s="24" t="n">
        <f aca="false">U5+1</f>
        <v>17</v>
      </c>
      <c r="W5" s="24" t="n">
        <f aca="false">V5+1</f>
        <v>18</v>
      </c>
      <c r="X5" s="24" t="n">
        <f aca="false">W5+1</f>
        <v>19</v>
      </c>
      <c r="Y5" s="24" t="n">
        <f aca="false">X5+1</f>
        <v>20</v>
      </c>
      <c r="Z5" s="24" t="n">
        <f aca="false">Y5+1</f>
        <v>21</v>
      </c>
      <c r="AA5" s="24" t="n">
        <f aca="false">Z5+1</f>
        <v>22</v>
      </c>
      <c r="AB5" s="24" t="n">
        <f aca="false">AA5+1</f>
        <v>23</v>
      </c>
      <c r="AC5" s="24" t="n">
        <f aca="false">AB5+1</f>
        <v>24</v>
      </c>
      <c r="AD5" s="24" t="n">
        <f aca="false">AC5+1</f>
        <v>25</v>
      </c>
    </row>
    <row r="6" customFormat="false" ht="15" hidden="false" customHeight="true" outlineLevel="0" collapsed="false">
      <c r="B6" s="4" t="s">
        <v>394</v>
      </c>
      <c r="C6" s="3"/>
      <c r="E6" s="63" t="n">
        <f aca="false">Inputs!$D$7+E5</f>
        <v>2029</v>
      </c>
      <c r="F6" s="63" t="n">
        <f aca="false">Inputs!$D$7+F5</f>
        <v>2030</v>
      </c>
      <c r="G6" s="63" t="n">
        <f aca="false">Inputs!$D$7+G5</f>
        <v>2031</v>
      </c>
      <c r="H6" s="63" t="n">
        <f aca="false">Inputs!$D$7+H5</f>
        <v>2032</v>
      </c>
      <c r="I6" s="63" t="n">
        <f aca="false">Inputs!$D$7+I5</f>
        <v>2033</v>
      </c>
      <c r="J6" s="63" t="n">
        <f aca="false">Inputs!$D$7+J5</f>
        <v>2034</v>
      </c>
      <c r="K6" s="63" t="n">
        <f aca="false">Inputs!$D$7+K5</f>
        <v>2035</v>
      </c>
      <c r="L6" s="63" t="n">
        <f aca="false">Inputs!$D$7+L5</f>
        <v>2036</v>
      </c>
      <c r="M6" s="63" t="n">
        <f aca="false">Inputs!$D$7+M5</f>
        <v>2037</v>
      </c>
      <c r="N6" s="63" t="n">
        <f aca="false">Inputs!$D$7+N5</f>
        <v>2038</v>
      </c>
      <c r="O6" s="63" t="n">
        <f aca="false">Inputs!$D$7+O5</f>
        <v>2039</v>
      </c>
      <c r="P6" s="63" t="n">
        <f aca="false">Inputs!$D$7+P5</f>
        <v>2040</v>
      </c>
      <c r="Q6" s="63" t="n">
        <f aca="false">Inputs!$D$7+Q5</f>
        <v>2041</v>
      </c>
      <c r="R6" s="63" t="n">
        <f aca="false">Inputs!$D$7+R5</f>
        <v>2042</v>
      </c>
      <c r="S6" s="63" t="n">
        <f aca="false">Inputs!$D$7+S5</f>
        <v>2043</v>
      </c>
      <c r="T6" s="63" t="n">
        <f aca="false">Inputs!$D$7+T5</f>
        <v>2044</v>
      </c>
      <c r="U6" s="63" t="n">
        <f aca="false">Inputs!$D$7+U5</f>
        <v>2045</v>
      </c>
      <c r="V6" s="63" t="n">
        <f aca="false">Inputs!$D$7+V5</f>
        <v>2046</v>
      </c>
      <c r="W6" s="63" t="n">
        <f aca="false">Inputs!$D$7+W5</f>
        <v>2047</v>
      </c>
      <c r="X6" s="63" t="n">
        <f aca="false">Inputs!$D$7+X5</f>
        <v>2048</v>
      </c>
      <c r="Y6" s="63" t="n">
        <f aca="false">Inputs!$D$7+Y5</f>
        <v>2049</v>
      </c>
      <c r="Z6" s="63" t="n">
        <f aca="false">Inputs!$D$7+Z5</f>
        <v>2050</v>
      </c>
      <c r="AA6" s="63" t="n">
        <f aca="false">Inputs!$D$7+AA5</f>
        <v>2051</v>
      </c>
      <c r="AB6" s="63" t="n">
        <f aca="false">Inputs!$D$7+AB5</f>
        <v>2052</v>
      </c>
      <c r="AC6" s="63" t="n">
        <f aca="false">Inputs!$D$7+AC5</f>
        <v>2053</v>
      </c>
      <c r="AD6" s="63" t="n">
        <f aca="false">Inputs!$D$7+AD5</f>
        <v>2054</v>
      </c>
    </row>
    <row r="7" customFormat="false" ht="15" hidden="false" customHeight="true" outlineLevel="0" collapsed="false">
      <c r="B7" s="4" t="s">
        <v>686</v>
      </c>
      <c r="C7" s="3"/>
      <c r="E7" s="45" t="n">
        <f aca="false">IF(E5=0,Inputs!$D$9/12,IF(E5&lt;Inputs!$D$17,1,IF(E5=Inputs!$D$17,1-Inputs!$D$9/12,0)))</f>
        <v>0.25</v>
      </c>
      <c r="F7" s="45" t="n">
        <f aca="false">IF(F5=0,Inputs!$D$9/12,IF(F5&lt;Inputs!$D$17,1,IF(F5=Inputs!$D$17,1-Inputs!$D$9/12,0)))</f>
        <v>1</v>
      </c>
      <c r="G7" s="45" t="n">
        <f aca="false">IF(G5=0,Inputs!$D$9/12,IF(G5&lt;Inputs!$D$17,1,IF(G5=Inputs!$D$17,1-Inputs!$D$9/12,0)))</f>
        <v>1</v>
      </c>
      <c r="H7" s="45" t="n">
        <f aca="false">IF(H5=0,Inputs!$D$9/12,IF(H5&lt;Inputs!$D$17,1,IF(H5=Inputs!$D$17,1-Inputs!$D$9/12,0)))</f>
        <v>1</v>
      </c>
      <c r="I7" s="45" t="n">
        <f aca="false">IF(I5=0,Inputs!$D$9/12,IF(I5&lt;Inputs!$D$17,1,IF(I5=Inputs!$D$17,1-Inputs!$D$9/12,0)))</f>
        <v>1</v>
      </c>
      <c r="J7" s="45" t="n">
        <f aca="false">IF(J5=0,Inputs!$D$9/12,IF(J5&lt;Inputs!$D$17,1,IF(J5=Inputs!$D$17,1-Inputs!$D$9/12,0)))</f>
        <v>1</v>
      </c>
      <c r="K7" s="45" t="n">
        <f aca="false">IF(K5=0,Inputs!$D$9/12,IF(K5&lt;Inputs!$D$17,1,IF(K5=Inputs!$D$17,1-Inputs!$D$9/12,0)))</f>
        <v>1</v>
      </c>
      <c r="L7" s="45" t="n">
        <f aca="false">IF(L5=0,Inputs!$D$9/12,IF(L5&lt;Inputs!$D$17,1,IF(L5=Inputs!$D$17,1-Inputs!$D$9/12,0)))</f>
        <v>1</v>
      </c>
      <c r="M7" s="45" t="n">
        <f aca="false">IF(M5=0,Inputs!$D$9/12,IF(M5&lt;Inputs!$D$17,1,IF(M5=Inputs!$D$17,1-Inputs!$D$9/12,0)))</f>
        <v>1</v>
      </c>
      <c r="N7" s="45" t="n">
        <f aca="false">IF(N5=0,Inputs!$D$9/12,IF(N5&lt;Inputs!$D$17,1,IF(N5=Inputs!$D$17,1-Inputs!$D$9/12,0)))</f>
        <v>1</v>
      </c>
      <c r="O7" s="45" t="n">
        <f aca="false">IF(O5=0,Inputs!$D$9/12,IF(O5&lt;Inputs!$D$17,1,IF(O5=Inputs!$D$17,1-Inputs!$D$9/12,0)))</f>
        <v>1</v>
      </c>
      <c r="P7" s="45" t="n">
        <f aca="false">IF(P5=0,Inputs!$D$9/12,IF(P5&lt;Inputs!$D$17,1,IF(P5=Inputs!$D$17,1-Inputs!$D$9/12,0)))</f>
        <v>1</v>
      </c>
      <c r="Q7" s="45" t="n">
        <f aca="false">IF(Q5=0,Inputs!$D$9/12,IF(Q5&lt;Inputs!$D$17,1,IF(Q5=Inputs!$D$17,1-Inputs!$D$9/12,0)))</f>
        <v>1</v>
      </c>
      <c r="R7" s="45" t="n">
        <f aca="false">IF(R5=0,Inputs!$D$9/12,IF(R5&lt;Inputs!$D$17,1,IF(R5=Inputs!$D$17,1-Inputs!$D$9/12,0)))</f>
        <v>1</v>
      </c>
      <c r="S7" s="45" t="n">
        <f aca="false">IF(S5=0,Inputs!$D$9/12,IF(S5&lt;Inputs!$D$17,1,IF(S5=Inputs!$D$17,1-Inputs!$D$9/12,0)))</f>
        <v>1</v>
      </c>
      <c r="T7" s="45" t="n">
        <f aca="false">IF(T5=0,Inputs!$D$9/12,IF(T5&lt;Inputs!$D$17,1,IF(T5=Inputs!$D$17,1-Inputs!$D$9/12,0)))</f>
        <v>1</v>
      </c>
      <c r="U7" s="45" t="n">
        <f aca="false">IF(U5=0,Inputs!$D$9/12,IF(U5&lt;Inputs!$D$17,1,IF(U5=Inputs!$D$17,1-Inputs!$D$9/12,0)))</f>
        <v>1</v>
      </c>
      <c r="V7" s="45" t="n">
        <f aca="false">IF(V5=0,Inputs!$D$9/12,IF(V5&lt;Inputs!$D$17,1,IF(V5=Inputs!$D$17,1-Inputs!$D$9/12,0)))</f>
        <v>1</v>
      </c>
      <c r="W7" s="45" t="n">
        <f aca="false">IF(W5=0,Inputs!$D$9/12,IF(W5&lt;Inputs!$D$17,1,IF(W5=Inputs!$D$17,1-Inputs!$D$9/12,0)))</f>
        <v>1</v>
      </c>
      <c r="X7" s="45" t="n">
        <f aca="false">IF(X5=0,Inputs!$D$9/12,IF(X5&lt;Inputs!$D$17,1,IF(X5=Inputs!$D$17,1-Inputs!$D$9/12,0)))</f>
        <v>1</v>
      </c>
      <c r="Y7" s="45" t="n">
        <f aca="false">IF(Y5=0,Inputs!$D$9/12,IF(Y5&lt;Inputs!$D$17,1,IF(Y5=Inputs!$D$17,1-Inputs!$D$9/12,0)))</f>
        <v>1</v>
      </c>
      <c r="Z7" s="45" t="n">
        <f aca="false">IF(Z5=0,Inputs!$D$9/12,IF(Z5&lt;Inputs!$D$17,1,IF(Z5=Inputs!$D$17,1-Inputs!$D$9/12,0)))</f>
        <v>1</v>
      </c>
      <c r="AA7" s="45" t="n">
        <f aca="false">IF(AA5=0,Inputs!$D$9/12,IF(AA5&lt;Inputs!$D$17,1,IF(AA5=Inputs!$D$17,1-Inputs!$D$9/12,0)))</f>
        <v>1</v>
      </c>
      <c r="AB7" s="45" t="n">
        <f aca="false">IF(AB5=0,Inputs!$D$9/12,IF(AB5&lt;Inputs!$D$17,1,IF(AB5=Inputs!$D$17,1-Inputs!$D$9/12,0)))</f>
        <v>1</v>
      </c>
      <c r="AC7" s="45" t="n">
        <f aca="false">IF(AC5=0,Inputs!$D$9/12,IF(AC5&lt;Inputs!$D$17,1,IF(AC5=Inputs!$D$17,1-Inputs!$D$9/12,0)))</f>
        <v>1</v>
      </c>
      <c r="AD7" s="45" t="n">
        <f aca="false">IF(AD5=0,Inputs!$D$9/12,IF(AD5&lt;Inputs!$D$17,1,IF(AD5=Inputs!$D$17,1-Inputs!$D$9/12,0)))</f>
        <v>0.75</v>
      </c>
    </row>
    <row r="8" customFormat="false" ht="15" hidden="false" customHeight="true" outlineLevel="0" collapsed="false">
      <c r="B8" s="4" t="s">
        <v>687</v>
      </c>
      <c r="C8" s="3"/>
      <c r="E8" s="24" t="n">
        <f aca="false">IF(AND(E5&gt;=1,E5&lt;=Inputs!$D$31),1,0)</f>
        <v>0</v>
      </c>
      <c r="F8" s="24" t="n">
        <f aca="false">IF(AND(F5&gt;=1,F5&lt;=Inputs!$D$31),1,0)</f>
        <v>1</v>
      </c>
      <c r="G8" s="24" t="n">
        <f aca="false">IF(AND(G5&gt;=1,G5&lt;=Inputs!$D$31),1,0)</f>
        <v>1</v>
      </c>
      <c r="H8" s="24" t="n">
        <f aca="false">IF(AND(H5&gt;=1,H5&lt;=Inputs!$D$31),1,0)</f>
        <v>1</v>
      </c>
      <c r="I8" s="24" t="n">
        <f aca="false">IF(AND(I5&gt;=1,I5&lt;=Inputs!$D$31),1,0)</f>
        <v>1</v>
      </c>
      <c r="J8" s="24" t="n">
        <f aca="false">IF(AND(J5&gt;=1,J5&lt;=Inputs!$D$31),1,0)</f>
        <v>1</v>
      </c>
      <c r="K8" s="24" t="n">
        <f aca="false">IF(AND(K5&gt;=1,K5&lt;=Inputs!$D$31),1,0)</f>
        <v>1</v>
      </c>
      <c r="L8" s="24" t="n">
        <f aca="false">IF(AND(L5&gt;=1,L5&lt;=Inputs!$D$31),1,0)</f>
        <v>1</v>
      </c>
      <c r="M8" s="24" t="n">
        <f aca="false">IF(AND(M5&gt;=1,M5&lt;=Inputs!$D$31),1,0)</f>
        <v>1</v>
      </c>
      <c r="N8" s="24" t="n">
        <f aca="false">IF(AND(N5&gt;=1,N5&lt;=Inputs!$D$31),1,0)</f>
        <v>1</v>
      </c>
      <c r="O8" s="24" t="n">
        <f aca="false">IF(AND(O5&gt;=1,O5&lt;=Inputs!$D$31),1,0)</f>
        <v>1</v>
      </c>
      <c r="P8" s="24" t="n">
        <f aca="false">IF(AND(P5&gt;=1,P5&lt;=Inputs!$D$31),1,0)</f>
        <v>0</v>
      </c>
      <c r="Q8" s="24" t="n">
        <f aca="false">IF(AND(Q5&gt;=1,Q5&lt;=Inputs!$D$31),1,0)</f>
        <v>0</v>
      </c>
      <c r="R8" s="24" t="n">
        <f aca="false">IF(AND(R5&gt;=1,R5&lt;=Inputs!$D$31),1,0)</f>
        <v>0</v>
      </c>
      <c r="S8" s="24" t="n">
        <f aca="false">IF(AND(S5&gt;=1,S5&lt;=Inputs!$D$31),1,0)</f>
        <v>0</v>
      </c>
      <c r="T8" s="24" t="n">
        <f aca="false">IF(AND(T5&gt;=1,T5&lt;=Inputs!$D$31),1,0)</f>
        <v>0</v>
      </c>
      <c r="U8" s="24" t="n">
        <f aca="false">IF(AND(U5&gt;=1,U5&lt;=Inputs!$D$31),1,0)</f>
        <v>0</v>
      </c>
      <c r="V8" s="24" t="n">
        <f aca="false">IF(AND(V5&gt;=1,V5&lt;=Inputs!$D$31),1,0)</f>
        <v>0</v>
      </c>
      <c r="W8" s="24" t="n">
        <f aca="false">IF(AND(W5&gt;=1,W5&lt;=Inputs!$D$31),1,0)</f>
        <v>0</v>
      </c>
      <c r="X8" s="24" t="n">
        <f aca="false">IF(AND(X5&gt;=1,X5&lt;=Inputs!$D$31),1,0)</f>
        <v>0</v>
      </c>
      <c r="Y8" s="24" t="n">
        <f aca="false">IF(AND(Y5&gt;=1,Y5&lt;=Inputs!$D$31),1,0)</f>
        <v>0</v>
      </c>
      <c r="Z8" s="24" t="n">
        <f aca="false">IF(AND(Z5&gt;=1,Z5&lt;=Inputs!$D$31),1,0)</f>
        <v>0</v>
      </c>
      <c r="AA8" s="24" t="n">
        <f aca="false">IF(AND(AA5&gt;=1,AA5&lt;=Inputs!$D$31),1,0)</f>
        <v>0</v>
      </c>
      <c r="AB8" s="24" t="n">
        <f aca="false">IF(AND(AB5&gt;=1,AB5&lt;=Inputs!$D$31),1,0)</f>
        <v>0</v>
      </c>
      <c r="AC8" s="24" t="n">
        <f aca="false">IF(AND(AC5&gt;=1,AC5&lt;=Inputs!$D$31),1,0)</f>
        <v>0</v>
      </c>
      <c r="AD8" s="24" t="n">
        <f aca="false">IF(AND(AD5&gt;=1,AD5&lt;=Inputs!$D$31),1,0)</f>
        <v>0</v>
      </c>
    </row>
    <row r="9" customFormat="false" ht="15" hidden="false" customHeight="true" outlineLevel="0" collapsed="false">
      <c r="B9" s="21" t="s">
        <v>688</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row>
    <row r="10" customFormat="false" ht="15" hidden="false" customHeight="true" outlineLevel="0" collapsed="false">
      <c r="B10" s="4" t="s">
        <v>689</v>
      </c>
      <c r="C10" s="3"/>
      <c r="E10" s="64" t="n">
        <f aca="false">(1-Inputs!$D$15)^MAX(0,E5-1)</f>
        <v>1</v>
      </c>
      <c r="F10" s="64" t="n">
        <f aca="false">(1-Inputs!$D$15)^MAX(0,F5-1)</f>
        <v>1</v>
      </c>
      <c r="G10" s="64" t="n">
        <f aca="false">(1-Inputs!$D$15)^MAX(0,G5-1)</f>
        <v>0.996</v>
      </c>
      <c r="H10" s="64" t="n">
        <f aca="false">(1-Inputs!$D$15)^MAX(0,H5-1)</f>
        <v>0.992016</v>
      </c>
      <c r="I10" s="64" t="n">
        <f aca="false">(1-Inputs!$D$15)^MAX(0,I5-1)</f>
        <v>0.988047936</v>
      </c>
      <c r="J10" s="64" t="n">
        <f aca="false">(1-Inputs!$D$15)^MAX(0,J5-1)</f>
        <v>0.984095744256</v>
      </c>
      <c r="K10" s="64" t="n">
        <f aca="false">(1-Inputs!$D$15)^MAX(0,K5-1)</f>
        <v>0.980159361278976</v>
      </c>
      <c r="L10" s="64" t="n">
        <f aca="false">(1-Inputs!$D$15)^MAX(0,L5-1)</f>
        <v>0.97623872383386</v>
      </c>
      <c r="M10" s="64" t="n">
        <f aca="false">(1-Inputs!$D$15)^MAX(0,M5-1)</f>
        <v>0.972333768938525</v>
      </c>
      <c r="N10" s="64" t="n">
        <f aca="false">(1-Inputs!$D$15)^MAX(0,N5-1)</f>
        <v>0.968444433862771</v>
      </c>
      <c r="O10" s="64" t="n">
        <f aca="false">(1-Inputs!$D$15)^MAX(0,O5-1)</f>
        <v>0.964570656127319</v>
      </c>
      <c r="P10" s="64" t="n">
        <f aca="false">(1-Inputs!$D$15)^MAX(0,P5-1)</f>
        <v>0.96071237350281</v>
      </c>
      <c r="Q10" s="64" t="n">
        <f aca="false">(1-Inputs!$D$15)^MAX(0,Q5-1)</f>
        <v>0.956869524008799</v>
      </c>
      <c r="R10" s="64" t="n">
        <f aca="false">(1-Inputs!$D$15)^MAX(0,R5-1)</f>
        <v>0.953042045912764</v>
      </c>
      <c r="S10" s="64" t="n">
        <f aca="false">(1-Inputs!$D$15)^MAX(0,S5-1)</f>
        <v>0.949229877729113</v>
      </c>
      <c r="T10" s="64" t="n">
        <f aca="false">(1-Inputs!$D$15)^MAX(0,T5-1)</f>
        <v>0.945432958218196</v>
      </c>
      <c r="U10" s="64" t="n">
        <f aca="false">(1-Inputs!$D$15)^MAX(0,U5-1)</f>
        <v>0.941651226385323</v>
      </c>
      <c r="V10" s="64" t="n">
        <f aca="false">(1-Inputs!$D$15)^MAX(0,V5-1)</f>
        <v>0.937884621479782</v>
      </c>
      <c r="W10" s="64" t="n">
        <f aca="false">(1-Inputs!$D$15)^MAX(0,W5-1)</f>
        <v>0.934133082993863</v>
      </c>
      <c r="X10" s="64" t="n">
        <f aca="false">(1-Inputs!$D$15)^MAX(0,X5-1)</f>
        <v>0.930396550661888</v>
      </c>
      <c r="Y10" s="64" t="n">
        <f aca="false">(1-Inputs!$D$15)^MAX(0,Y5-1)</f>
        <v>0.92667496445924</v>
      </c>
      <c r="Z10" s="64" t="n">
        <f aca="false">(1-Inputs!$D$15)^MAX(0,Z5-1)</f>
        <v>0.922968264601403</v>
      </c>
      <c r="AA10" s="64" t="n">
        <f aca="false">(1-Inputs!$D$15)^MAX(0,AA5-1)</f>
        <v>0.919276391542998</v>
      </c>
      <c r="AB10" s="64" t="n">
        <f aca="false">(1-Inputs!$D$15)^MAX(0,AB5-1)</f>
        <v>0.915599285976825</v>
      </c>
      <c r="AC10" s="64" t="n">
        <f aca="false">(1-Inputs!$D$15)^MAX(0,AC5-1)</f>
        <v>0.911936888832918</v>
      </c>
      <c r="AD10" s="64" t="n">
        <f aca="false">(1-Inputs!$D$15)^MAX(0,AD5-1)</f>
        <v>0.908289141277586</v>
      </c>
    </row>
    <row r="11" customFormat="false" ht="15" hidden="false" customHeight="true" outlineLevel="0" collapsed="false">
      <c r="B11" s="4" t="s">
        <v>690</v>
      </c>
      <c r="C11" s="3" t="s">
        <v>691</v>
      </c>
      <c r="D11" s="41" t="n">
        <f aca="false">SUM(E11:AD11)</f>
        <v>1779876.29262749</v>
      </c>
      <c r="E11" s="24" t="n">
        <f aca="false">Inputs!$D$6*Inputs!$D$14*E10*E7</f>
        <v>18650</v>
      </c>
      <c r="F11" s="24" t="n">
        <f aca="false">Inputs!$D$6*Inputs!$D$14*F10*F7</f>
        <v>74600</v>
      </c>
      <c r="G11" s="24" t="n">
        <f aca="false">Inputs!$D$6*Inputs!$D$14*G10*G7</f>
        <v>74301.6</v>
      </c>
      <c r="H11" s="24" t="n">
        <f aca="false">Inputs!$D$6*Inputs!$D$14*H10*H7</f>
        <v>74004.3936</v>
      </c>
      <c r="I11" s="24" t="n">
        <f aca="false">Inputs!$D$6*Inputs!$D$14*I10*I7</f>
        <v>73708.3760256</v>
      </c>
      <c r="J11" s="24" t="n">
        <f aca="false">Inputs!$D$6*Inputs!$D$14*J10*J7</f>
        <v>73413.5425214976</v>
      </c>
      <c r="K11" s="24" t="n">
        <f aca="false">Inputs!$D$6*Inputs!$D$14*K10*K7</f>
        <v>73119.8883514116</v>
      </c>
      <c r="L11" s="24" t="n">
        <f aca="false">Inputs!$D$6*Inputs!$D$14*L10*L7</f>
        <v>72827.408798006</v>
      </c>
      <c r="M11" s="24" t="n">
        <f aca="false">Inputs!$D$6*Inputs!$D$14*M10*M7</f>
        <v>72536.0991628139</v>
      </c>
      <c r="N11" s="24" t="n">
        <f aca="false">Inputs!$D$6*Inputs!$D$14*N10*N7</f>
        <v>72245.9547661627</v>
      </c>
      <c r="O11" s="24" t="n">
        <f aca="false">Inputs!$D$6*Inputs!$D$14*O10*O7</f>
        <v>71956.970947098</v>
      </c>
      <c r="P11" s="24" t="n">
        <f aca="false">Inputs!$D$6*Inputs!$D$14*P10*P7</f>
        <v>71669.1430633096</v>
      </c>
      <c r="Q11" s="24" t="n">
        <f aca="false">Inputs!$D$6*Inputs!$D$14*Q10*Q7</f>
        <v>71382.4664910564</v>
      </c>
      <c r="R11" s="24" t="n">
        <f aca="false">Inputs!$D$6*Inputs!$D$14*R10*R7</f>
        <v>71096.9366250922</v>
      </c>
      <c r="S11" s="24" t="n">
        <f aca="false">Inputs!$D$6*Inputs!$D$14*S10*S7</f>
        <v>70812.5488785918</v>
      </c>
      <c r="T11" s="24" t="n">
        <f aca="false">Inputs!$D$6*Inputs!$D$14*T10*T7</f>
        <v>70529.2986830774</v>
      </c>
      <c r="U11" s="24" t="n">
        <f aca="false">Inputs!$D$6*Inputs!$D$14*U10*U7</f>
        <v>70247.1814883451</v>
      </c>
      <c r="V11" s="24" t="n">
        <f aca="false">Inputs!$D$6*Inputs!$D$14*V10*V7</f>
        <v>69966.1927623917</v>
      </c>
      <c r="W11" s="24" t="n">
        <f aca="false">Inputs!$D$6*Inputs!$D$14*W10*W7</f>
        <v>69686.3279913422</v>
      </c>
      <c r="X11" s="24" t="n">
        <f aca="false">Inputs!$D$6*Inputs!$D$14*X10*X7</f>
        <v>69407.5826793768</v>
      </c>
      <c r="Y11" s="24" t="n">
        <f aca="false">Inputs!$D$6*Inputs!$D$14*Y10*Y7</f>
        <v>69129.9523486593</v>
      </c>
      <c r="Z11" s="24" t="n">
        <f aca="false">Inputs!$D$6*Inputs!$D$14*Z10*Z7</f>
        <v>68853.4325392647</v>
      </c>
      <c r="AA11" s="24" t="n">
        <f aca="false">Inputs!$D$6*Inputs!$D$14*AA10*AA7</f>
        <v>68578.0188091076</v>
      </c>
      <c r="AB11" s="24" t="n">
        <f aca="false">Inputs!$D$6*Inputs!$D$14*AB10*AB7</f>
        <v>68303.7067338712</v>
      </c>
      <c r="AC11" s="24" t="n">
        <f aca="false">Inputs!$D$6*Inputs!$D$14*AC10*AC7</f>
        <v>68030.4919069357</v>
      </c>
      <c r="AD11" s="24" t="n">
        <f aca="false">Inputs!$D$6*Inputs!$D$14*AD10*AD7</f>
        <v>50818.777454481</v>
      </c>
    </row>
    <row r="12" customFormat="false" ht="15" hidden="false" customHeight="true" outlineLevel="0" collapsed="false">
      <c r="B12" s="4" t="s">
        <v>692</v>
      </c>
      <c r="C12" s="3" t="s">
        <v>691</v>
      </c>
      <c r="D12" s="41" t="n">
        <f aca="false">SUM(E12:AD12)</f>
        <v>1665964.20989933</v>
      </c>
      <c r="E12" s="24" t="n">
        <f aca="false">E11*(1-Inputs!$D$39)</f>
        <v>17456.4</v>
      </c>
      <c r="F12" s="24" t="n">
        <f aca="false">F11*(1-Inputs!$D$39)</f>
        <v>69825.6</v>
      </c>
      <c r="G12" s="24" t="n">
        <f aca="false">G11*(1-Inputs!$D$39)</f>
        <v>69546.2976</v>
      </c>
      <c r="H12" s="24" t="n">
        <f aca="false">H11*(1-Inputs!$D$39)</f>
        <v>69268.1124096</v>
      </c>
      <c r="I12" s="24" t="n">
        <f aca="false">I11*(1-Inputs!$D$39)</f>
        <v>68991.0399599616</v>
      </c>
      <c r="J12" s="24" t="n">
        <f aca="false">J11*(1-Inputs!$D$39)</f>
        <v>68715.0758001218</v>
      </c>
      <c r="K12" s="24" t="n">
        <f aca="false">K11*(1-Inputs!$D$39)</f>
        <v>68440.2154969213</v>
      </c>
      <c r="L12" s="24" t="n">
        <f aca="false">L11*(1-Inputs!$D$39)</f>
        <v>68166.4546349336</v>
      </c>
      <c r="M12" s="24" t="n">
        <f aca="false">M11*(1-Inputs!$D$39)</f>
        <v>67893.7888163938</v>
      </c>
      <c r="N12" s="24" t="n">
        <f aca="false">N11*(1-Inputs!$D$39)</f>
        <v>67622.2136611283</v>
      </c>
      <c r="O12" s="24" t="n">
        <f aca="false">O11*(1-Inputs!$D$39)</f>
        <v>67351.7248064838</v>
      </c>
      <c r="P12" s="24" t="n">
        <f aca="false">P11*(1-Inputs!$D$39)</f>
        <v>67082.3179072578</v>
      </c>
      <c r="Q12" s="24" t="n">
        <f aca="false">Q11*(1-Inputs!$D$39)</f>
        <v>66813.9886356288</v>
      </c>
      <c r="R12" s="24" t="n">
        <f aca="false">R11*(1-Inputs!$D$39)</f>
        <v>66546.7326810863</v>
      </c>
      <c r="S12" s="24" t="n">
        <f aca="false">S11*(1-Inputs!$D$39)</f>
        <v>66280.5457503619</v>
      </c>
      <c r="T12" s="24" t="n">
        <f aca="false">T11*(1-Inputs!$D$39)</f>
        <v>66015.4235673605</v>
      </c>
      <c r="U12" s="24" t="n">
        <f aca="false">U11*(1-Inputs!$D$39)</f>
        <v>65751.361873091</v>
      </c>
      <c r="V12" s="24" t="n">
        <f aca="false">V11*(1-Inputs!$D$39)</f>
        <v>65488.3564255987</v>
      </c>
      <c r="W12" s="24" t="n">
        <f aca="false">W11*(1-Inputs!$D$39)</f>
        <v>65226.4029998963</v>
      </c>
      <c r="X12" s="24" t="n">
        <f aca="false">X11*(1-Inputs!$D$39)</f>
        <v>64965.4973878967</v>
      </c>
      <c r="Y12" s="24" t="n">
        <f aca="false">Y11*(1-Inputs!$D$39)</f>
        <v>64705.6353983451</v>
      </c>
      <c r="Z12" s="24" t="n">
        <f aca="false">Z11*(1-Inputs!$D$39)</f>
        <v>64446.8128567517</v>
      </c>
      <c r="AA12" s="24" t="n">
        <f aca="false">AA11*(1-Inputs!$D$39)</f>
        <v>64189.0256053247</v>
      </c>
      <c r="AB12" s="24" t="n">
        <f aca="false">AB11*(1-Inputs!$D$39)</f>
        <v>63932.2695029034</v>
      </c>
      <c r="AC12" s="24" t="n">
        <f aca="false">AC11*(1-Inputs!$D$39)</f>
        <v>63676.5404248918</v>
      </c>
      <c r="AD12" s="24" t="n">
        <f aca="false">AD11*(1-Inputs!$D$39)</f>
        <v>47566.3756973942</v>
      </c>
    </row>
    <row r="13" customFormat="false" ht="15" hidden="false" customHeight="true" outlineLevel="0" collapsed="false">
      <c r="B13" s="4" t="s">
        <v>693</v>
      </c>
      <c r="C13" s="3" t="s">
        <v>297</v>
      </c>
      <c r="D13" s="59" t="n">
        <f aca="false">SUM(E13:AD13)</f>
        <v>719.070022221507</v>
      </c>
      <c r="E13" s="57" t="n">
        <f aca="false">E11*Inputs!$D$16/10000</f>
        <v>7.5346</v>
      </c>
      <c r="F13" s="57" t="n">
        <f aca="false">F11*Inputs!$D$16/10000</f>
        <v>30.1384</v>
      </c>
      <c r="G13" s="57" t="n">
        <f aca="false">G11*Inputs!$D$16/10000</f>
        <v>30.0178464</v>
      </c>
      <c r="H13" s="57" t="n">
        <f aca="false">H11*Inputs!$D$16/10000</f>
        <v>29.8977750144</v>
      </c>
      <c r="I13" s="57" t="n">
        <f aca="false">I11*Inputs!$D$16/10000</f>
        <v>29.7781839143424</v>
      </c>
      <c r="J13" s="57" t="n">
        <f aca="false">J11*Inputs!$D$16/10000</f>
        <v>29.659071178685</v>
      </c>
      <c r="K13" s="57" t="n">
        <f aca="false">K11*Inputs!$D$16/10000</f>
        <v>29.5404348939703</v>
      </c>
      <c r="L13" s="57" t="n">
        <f aca="false">L11*Inputs!$D$16/10000</f>
        <v>29.4222731543944</v>
      </c>
      <c r="M13" s="57" t="n">
        <f aca="false">M11*Inputs!$D$16/10000</f>
        <v>29.3045840617768</v>
      </c>
      <c r="N13" s="57" t="n">
        <f aca="false">N11*Inputs!$D$16/10000</f>
        <v>29.1873657255297</v>
      </c>
      <c r="O13" s="57" t="n">
        <f aca="false">O11*Inputs!$D$16/10000</f>
        <v>29.0706162626276</v>
      </c>
      <c r="P13" s="57" t="n">
        <f aca="false">P11*Inputs!$D$16/10000</f>
        <v>28.9543337975771</v>
      </c>
      <c r="Q13" s="57" t="n">
        <f aca="false">Q11*Inputs!$D$16/10000</f>
        <v>28.8385164623868</v>
      </c>
      <c r="R13" s="57" t="n">
        <f aca="false">R11*Inputs!$D$16/10000</f>
        <v>28.7231623965372</v>
      </c>
      <c r="S13" s="57" t="n">
        <f aca="false">S11*Inputs!$D$16/10000</f>
        <v>28.6082697469511</v>
      </c>
      <c r="T13" s="57" t="n">
        <f aca="false">T11*Inputs!$D$16/10000</f>
        <v>28.4938366679633</v>
      </c>
      <c r="U13" s="57" t="n">
        <f aca="false">U11*Inputs!$D$16/10000</f>
        <v>28.3798613212914</v>
      </c>
      <c r="V13" s="57" t="n">
        <f aca="false">V11*Inputs!$D$16/10000</f>
        <v>28.2663418760063</v>
      </c>
      <c r="W13" s="57" t="n">
        <f aca="false">W11*Inputs!$D$16/10000</f>
        <v>28.1532765085022</v>
      </c>
      <c r="X13" s="57" t="n">
        <f aca="false">X11*Inputs!$D$16/10000</f>
        <v>28.0406634024682</v>
      </c>
      <c r="Y13" s="57" t="n">
        <f aca="false">Y11*Inputs!$D$16/10000</f>
        <v>27.9285007488584</v>
      </c>
      <c r="Z13" s="57" t="n">
        <f aca="false">Z11*Inputs!$D$16/10000</f>
        <v>27.8167867458629</v>
      </c>
      <c r="AA13" s="57" t="n">
        <f aca="false">AA11*Inputs!$D$16/10000</f>
        <v>27.7055195988795</v>
      </c>
      <c r="AB13" s="57" t="n">
        <f aca="false">AB11*Inputs!$D$16/10000</f>
        <v>27.594697520484</v>
      </c>
      <c r="AC13" s="57" t="n">
        <f aca="false">AC11*Inputs!$D$16/10000</f>
        <v>27.484318730402</v>
      </c>
      <c r="AD13" s="57" t="n">
        <f aca="false">AD11*Inputs!$D$16/10000</f>
        <v>20.5307860916103</v>
      </c>
    </row>
    <row r="14" customFormat="false" ht="15" hidden="false" customHeight="true" outlineLevel="0" collapsed="false">
      <c r="B14" s="4" t="s">
        <v>694</v>
      </c>
      <c r="C14" s="3" t="s">
        <v>297</v>
      </c>
      <c r="D14" s="59" t="n">
        <f aca="false">SUM(E14:AD14)</f>
        <v>673.049540799331</v>
      </c>
      <c r="E14" s="57" t="n">
        <f aca="false">E12*Inputs!$D$16/10000</f>
        <v>7.0523856</v>
      </c>
      <c r="F14" s="57" t="n">
        <f aca="false">F12*Inputs!$D$16/10000</f>
        <v>28.2095424</v>
      </c>
      <c r="G14" s="57" t="n">
        <f aca="false">G12*Inputs!$D$16/10000</f>
        <v>28.0967042304</v>
      </c>
      <c r="H14" s="57" t="n">
        <f aca="false">H12*Inputs!$D$16/10000</f>
        <v>27.9843174134784</v>
      </c>
      <c r="I14" s="57" t="n">
        <f aca="false">I12*Inputs!$D$16/10000</f>
        <v>27.8723801438245</v>
      </c>
      <c r="J14" s="57" t="n">
        <f aca="false">J12*Inputs!$D$16/10000</f>
        <v>27.7608906232492</v>
      </c>
      <c r="K14" s="57" t="n">
        <f aca="false">K12*Inputs!$D$16/10000</f>
        <v>27.6498470607562</v>
      </c>
      <c r="L14" s="57" t="n">
        <f aca="false">L12*Inputs!$D$16/10000</f>
        <v>27.5392476725132</v>
      </c>
      <c r="M14" s="57" t="n">
        <f aca="false">M12*Inputs!$D$16/10000</f>
        <v>27.4290906818231</v>
      </c>
      <c r="N14" s="57" t="n">
        <f aca="false">N12*Inputs!$D$16/10000</f>
        <v>27.3193743190958</v>
      </c>
      <c r="O14" s="57" t="n">
        <f aca="false">O12*Inputs!$D$16/10000</f>
        <v>27.2100968218194</v>
      </c>
      <c r="P14" s="57" t="n">
        <f aca="false">P12*Inputs!$D$16/10000</f>
        <v>27.1012564345322</v>
      </c>
      <c r="Q14" s="57" t="n">
        <f aca="false">Q12*Inputs!$D$16/10000</f>
        <v>26.992851408794</v>
      </c>
      <c r="R14" s="57" t="n">
        <f aca="false">R12*Inputs!$D$16/10000</f>
        <v>26.8848800031589</v>
      </c>
      <c r="S14" s="57" t="n">
        <f aca="false">S12*Inputs!$D$16/10000</f>
        <v>26.7773404831462</v>
      </c>
      <c r="T14" s="57" t="n">
        <f aca="false">T12*Inputs!$D$16/10000</f>
        <v>26.6702311212136</v>
      </c>
      <c r="U14" s="57" t="n">
        <f aca="false">U12*Inputs!$D$16/10000</f>
        <v>26.5635501967288</v>
      </c>
      <c r="V14" s="57" t="n">
        <f aca="false">V12*Inputs!$D$16/10000</f>
        <v>26.4572959959419</v>
      </c>
      <c r="W14" s="57" t="n">
        <f aca="false">W12*Inputs!$D$16/10000</f>
        <v>26.3514668119581</v>
      </c>
      <c r="X14" s="57" t="n">
        <f aca="false">X12*Inputs!$D$16/10000</f>
        <v>26.2460609447103</v>
      </c>
      <c r="Y14" s="57" t="n">
        <f aca="false">Y12*Inputs!$D$16/10000</f>
        <v>26.1410767009314</v>
      </c>
      <c r="Z14" s="57" t="n">
        <f aca="false">Z12*Inputs!$D$16/10000</f>
        <v>26.0365123941277</v>
      </c>
      <c r="AA14" s="57" t="n">
        <f aca="false">AA12*Inputs!$D$16/10000</f>
        <v>25.9323663445512</v>
      </c>
      <c r="AB14" s="57" t="n">
        <f aca="false">AB12*Inputs!$D$16/10000</f>
        <v>25.828636879173</v>
      </c>
      <c r="AC14" s="57" t="n">
        <f aca="false">AC12*Inputs!$D$16/10000</f>
        <v>25.7253223316563</v>
      </c>
      <c r="AD14" s="57" t="n">
        <f aca="false">AD12*Inputs!$D$16/10000</f>
        <v>19.2168157817472</v>
      </c>
    </row>
    <row r="15" customFormat="false" ht="15" hidden="false" customHeight="true" outlineLevel="0" collapsed="false">
      <c r="B15" s="4" t="s">
        <v>695</v>
      </c>
      <c r="C15" s="3" t="s">
        <v>297</v>
      </c>
      <c r="D15" s="59" t="n">
        <f aca="false">SUM(E15:AD15)</f>
        <v>116.5</v>
      </c>
      <c r="E15" s="57" t="n">
        <f aca="false">Inputs!$D$6*Inputs!$D$18*(1+Inputs!$D$19)^MAX(0,E5-1)*E7/10000</f>
        <v>1.165</v>
      </c>
      <c r="F15" s="57" t="n">
        <f aca="false">Inputs!$D$6*Inputs!$D$18*(1+Inputs!$D$19)^MAX(0,F5-1)*F7/10000</f>
        <v>4.66</v>
      </c>
      <c r="G15" s="57" t="n">
        <f aca="false">Inputs!$D$6*Inputs!$D$18*(1+Inputs!$D$19)^MAX(0,G5-1)*G7/10000</f>
        <v>4.66</v>
      </c>
      <c r="H15" s="57" t="n">
        <f aca="false">Inputs!$D$6*Inputs!$D$18*(1+Inputs!$D$19)^MAX(0,H5-1)*H7/10000</f>
        <v>4.66</v>
      </c>
      <c r="I15" s="57" t="n">
        <f aca="false">Inputs!$D$6*Inputs!$D$18*(1+Inputs!$D$19)^MAX(0,I5-1)*I7/10000</f>
        <v>4.66</v>
      </c>
      <c r="J15" s="57" t="n">
        <f aca="false">Inputs!$D$6*Inputs!$D$18*(1+Inputs!$D$19)^MAX(0,J5-1)*J7/10000</f>
        <v>4.66</v>
      </c>
      <c r="K15" s="57" t="n">
        <f aca="false">Inputs!$D$6*Inputs!$D$18*(1+Inputs!$D$19)^MAX(0,K5-1)*K7/10000</f>
        <v>4.66</v>
      </c>
      <c r="L15" s="57" t="n">
        <f aca="false">Inputs!$D$6*Inputs!$D$18*(1+Inputs!$D$19)^MAX(0,L5-1)*L7/10000</f>
        <v>4.66</v>
      </c>
      <c r="M15" s="57" t="n">
        <f aca="false">Inputs!$D$6*Inputs!$D$18*(1+Inputs!$D$19)^MAX(0,M5-1)*M7/10000</f>
        <v>4.66</v>
      </c>
      <c r="N15" s="57" t="n">
        <f aca="false">Inputs!$D$6*Inputs!$D$18*(1+Inputs!$D$19)^MAX(0,N5-1)*N7/10000</f>
        <v>4.66</v>
      </c>
      <c r="O15" s="57" t="n">
        <f aca="false">Inputs!$D$6*Inputs!$D$18*(1+Inputs!$D$19)^MAX(0,O5-1)*O7/10000</f>
        <v>4.66</v>
      </c>
      <c r="P15" s="57" t="n">
        <f aca="false">Inputs!$D$6*Inputs!$D$18*(1+Inputs!$D$19)^MAX(0,P5-1)*P7/10000</f>
        <v>4.66</v>
      </c>
      <c r="Q15" s="57" t="n">
        <f aca="false">Inputs!$D$6*Inputs!$D$18*(1+Inputs!$D$19)^MAX(0,Q5-1)*Q7/10000</f>
        <v>4.66</v>
      </c>
      <c r="R15" s="57" t="n">
        <f aca="false">Inputs!$D$6*Inputs!$D$18*(1+Inputs!$D$19)^MAX(0,R5-1)*R7/10000</f>
        <v>4.66</v>
      </c>
      <c r="S15" s="57" t="n">
        <f aca="false">Inputs!$D$6*Inputs!$D$18*(1+Inputs!$D$19)^MAX(0,S5-1)*S7/10000</f>
        <v>4.66</v>
      </c>
      <c r="T15" s="57" t="n">
        <f aca="false">Inputs!$D$6*Inputs!$D$18*(1+Inputs!$D$19)^MAX(0,T5-1)*T7/10000</f>
        <v>4.66</v>
      </c>
      <c r="U15" s="57" t="n">
        <f aca="false">Inputs!$D$6*Inputs!$D$18*(1+Inputs!$D$19)^MAX(0,U5-1)*U7/10000</f>
        <v>4.66</v>
      </c>
      <c r="V15" s="57" t="n">
        <f aca="false">Inputs!$D$6*Inputs!$D$18*(1+Inputs!$D$19)^MAX(0,V5-1)*V7/10000</f>
        <v>4.66</v>
      </c>
      <c r="W15" s="57" t="n">
        <f aca="false">Inputs!$D$6*Inputs!$D$18*(1+Inputs!$D$19)^MAX(0,W5-1)*W7/10000</f>
        <v>4.66</v>
      </c>
      <c r="X15" s="57" t="n">
        <f aca="false">Inputs!$D$6*Inputs!$D$18*(1+Inputs!$D$19)^MAX(0,X5-1)*X7/10000</f>
        <v>4.66</v>
      </c>
      <c r="Y15" s="57" t="n">
        <f aca="false">Inputs!$D$6*Inputs!$D$18*(1+Inputs!$D$19)^MAX(0,Y5-1)*Y7/10000</f>
        <v>4.66</v>
      </c>
      <c r="Z15" s="57" t="n">
        <f aca="false">Inputs!$D$6*Inputs!$D$18*(1+Inputs!$D$19)^MAX(0,Z5-1)*Z7/10000</f>
        <v>4.66</v>
      </c>
      <c r="AA15" s="57" t="n">
        <f aca="false">Inputs!$D$6*Inputs!$D$18*(1+Inputs!$D$19)^MAX(0,AA5-1)*AA7/10000</f>
        <v>4.66</v>
      </c>
      <c r="AB15" s="57" t="n">
        <f aca="false">Inputs!$D$6*Inputs!$D$18*(1+Inputs!$D$19)^MAX(0,AB5-1)*AB7/10000</f>
        <v>4.66</v>
      </c>
      <c r="AC15" s="57" t="n">
        <f aca="false">Inputs!$D$6*Inputs!$D$18*(1+Inputs!$D$19)^MAX(0,AC5-1)*AC7/10000</f>
        <v>4.66</v>
      </c>
      <c r="AD15" s="57" t="n">
        <f aca="false">Inputs!$D$6*Inputs!$D$18*(1+Inputs!$D$19)^MAX(0,AD5-1)*AD7/10000</f>
        <v>3.495</v>
      </c>
    </row>
    <row r="16" customFormat="false" ht="15" hidden="false" customHeight="true" outlineLevel="0" collapsed="false">
      <c r="B16" s="40" t="s">
        <v>696</v>
      </c>
      <c r="C16" s="3" t="s">
        <v>297</v>
      </c>
      <c r="D16" s="59" t="n">
        <f aca="false">SUM(E16:AD16)</f>
        <v>602.570022221507</v>
      </c>
      <c r="E16" s="57" t="n">
        <f aca="false">E13-E15</f>
        <v>6.3696</v>
      </c>
      <c r="F16" s="57" t="n">
        <f aca="false">F13-F15</f>
        <v>25.4784</v>
      </c>
      <c r="G16" s="57" t="n">
        <f aca="false">G13-G15</f>
        <v>25.3578464</v>
      </c>
      <c r="H16" s="57" t="n">
        <f aca="false">H13-H15</f>
        <v>25.2377750144</v>
      </c>
      <c r="I16" s="57" t="n">
        <f aca="false">I13-I15</f>
        <v>25.1181839143424</v>
      </c>
      <c r="J16" s="57" t="n">
        <f aca="false">J13-J15</f>
        <v>24.999071178685</v>
      </c>
      <c r="K16" s="57" t="n">
        <f aca="false">K13-K15</f>
        <v>24.8804348939703</v>
      </c>
      <c r="L16" s="57" t="n">
        <f aca="false">L13-L15</f>
        <v>24.7622731543944</v>
      </c>
      <c r="M16" s="57" t="n">
        <f aca="false">M13-M15</f>
        <v>24.6445840617768</v>
      </c>
      <c r="N16" s="57" t="n">
        <f aca="false">N13-N15</f>
        <v>24.5273657255297</v>
      </c>
      <c r="O16" s="57" t="n">
        <f aca="false">O13-O15</f>
        <v>24.4106162626276</v>
      </c>
      <c r="P16" s="57" t="n">
        <f aca="false">P13-P15</f>
        <v>24.2943337975771</v>
      </c>
      <c r="Q16" s="57" t="n">
        <f aca="false">Q13-Q15</f>
        <v>24.1785164623868</v>
      </c>
      <c r="R16" s="57" t="n">
        <f aca="false">R13-R15</f>
        <v>24.0631623965372</v>
      </c>
      <c r="S16" s="57" t="n">
        <f aca="false">S13-S15</f>
        <v>23.9482697469511</v>
      </c>
      <c r="T16" s="57" t="n">
        <f aca="false">T13-T15</f>
        <v>23.8338366679633</v>
      </c>
      <c r="U16" s="57" t="n">
        <f aca="false">U13-U15</f>
        <v>23.7198613212914</v>
      </c>
      <c r="V16" s="57" t="n">
        <f aca="false">V13-V15</f>
        <v>23.6063418760063</v>
      </c>
      <c r="W16" s="57" t="n">
        <f aca="false">W13-W15</f>
        <v>23.4932765085022</v>
      </c>
      <c r="X16" s="57" t="n">
        <f aca="false">X13-X15</f>
        <v>23.3806634024682</v>
      </c>
      <c r="Y16" s="57" t="n">
        <f aca="false">Y13-Y15</f>
        <v>23.2685007488584</v>
      </c>
      <c r="Z16" s="57" t="n">
        <f aca="false">Z13-Z15</f>
        <v>23.1567867458629</v>
      </c>
      <c r="AA16" s="57" t="n">
        <f aca="false">AA13-AA15</f>
        <v>23.0455195988795</v>
      </c>
      <c r="AB16" s="57" t="n">
        <f aca="false">AB13-AB15</f>
        <v>22.934697520484</v>
      </c>
      <c r="AC16" s="57" t="n">
        <f aca="false">AC13-AC15</f>
        <v>22.824318730402</v>
      </c>
      <c r="AD16" s="57" t="n">
        <f aca="false">AD13-AD15</f>
        <v>17.0357860916103</v>
      </c>
    </row>
    <row r="17" customFormat="false" ht="15" hidden="false" customHeight="true" outlineLevel="0" collapsed="false">
      <c r="B17" s="4" t="s">
        <v>697</v>
      </c>
      <c r="C17" s="3" t="s">
        <v>297</v>
      </c>
      <c r="D17" s="59" t="n">
        <f aca="false">SUM(E17:AD17)</f>
        <v>556.549540799331</v>
      </c>
      <c r="E17" s="57" t="n">
        <f aca="false">E14-E15</f>
        <v>5.8873856</v>
      </c>
      <c r="F17" s="57" t="n">
        <f aca="false">F14-F15</f>
        <v>23.5495424</v>
      </c>
      <c r="G17" s="57" t="n">
        <f aca="false">G14-G15</f>
        <v>23.4367042304</v>
      </c>
      <c r="H17" s="57" t="n">
        <f aca="false">H14-H15</f>
        <v>23.3243174134784</v>
      </c>
      <c r="I17" s="57" t="n">
        <f aca="false">I14-I15</f>
        <v>23.2123801438245</v>
      </c>
      <c r="J17" s="57" t="n">
        <f aca="false">J14-J15</f>
        <v>23.1008906232492</v>
      </c>
      <c r="K17" s="57" t="n">
        <f aca="false">K14-K15</f>
        <v>22.9898470607562</v>
      </c>
      <c r="L17" s="57" t="n">
        <f aca="false">L14-L15</f>
        <v>22.8792476725132</v>
      </c>
      <c r="M17" s="57" t="n">
        <f aca="false">M14-M15</f>
        <v>22.7690906818231</v>
      </c>
      <c r="N17" s="57" t="n">
        <f aca="false">N14-N15</f>
        <v>22.6593743190958</v>
      </c>
      <c r="O17" s="57" t="n">
        <f aca="false">O14-O15</f>
        <v>22.5500968218194</v>
      </c>
      <c r="P17" s="57" t="n">
        <f aca="false">P14-P15</f>
        <v>22.4412564345322</v>
      </c>
      <c r="Q17" s="57" t="n">
        <f aca="false">Q14-Q15</f>
        <v>22.332851408794</v>
      </c>
      <c r="R17" s="57" t="n">
        <f aca="false">R14-R15</f>
        <v>22.2248800031589</v>
      </c>
      <c r="S17" s="57" t="n">
        <f aca="false">S14-S15</f>
        <v>22.1173404831462</v>
      </c>
      <c r="T17" s="57" t="n">
        <f aca="false">T14-T15</f>
        <v>22.0102311212136</v>
      </c>
      <c r="U17" s="57" t="n">
        <f aca="false">U14-U15</f>
        <v>21.9035501967288</v>
      </c>
      <c r="V17" s="57" t="n">
        <f aca="false">V14-V15</f>
        <v>21.7972959959419</v>
      </c>
      <c r="W17" s="57" t="n">
        <f aca="false">W14-W15</f>
        <v>21.6914668119581</v>
      </c>
      <c r="X17" s="57" t="n">
        <f aca="false">X14-X15</f>
        <v>21.5860609447103</v>
      </c>
      <c r="Y17" s="57" t="n">
        <f aca="false">Y14-Y15</f>
        <v>21.4810767009314</v>
      </c>
      <c r="Z17" s="57" t="n">
        <f aca="false">Z14-Z15</f>
        <v>21.3765123941277</v>
      </c>
      <c r="AA17" s="57" t="n">
        <f aca="false">AA14-AA15</f>
        <v>21.2723663445512</v>
      </c>
      <c r="AB17" s="57" t="n">
        <f aca="false">AB14-AB15</f>
        <v>21.168636879173</v>
      </c>
      <c r="AC17" s="57" t="n">
        <f aca="false">AC14-AC15</f>
        <v>21.0653223316563</v>
      </c>
      <c r="AD17" s="57" t="n">
        <f aca="false">AD14-AD15</f>
        <v>15.7218157817472</v>
      </c>
    </row>
    <row r="18" customFormat="false" ht="15" hidden="false" customHeight="true" outlineLevel="0" collapsed="false">
      <c r="B18" s="21" t="s">
        <v>698</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row>
    <row r="19" customFormat="false" ht="15" hidden="false" customHeight="true" outlineLevel="0" collapsed="false">
      <c r="B19" s="4" t="s">
        <v>699</v>
      </c>
      <c r="C19" s="3" t="s">
        <v>297</v>
      </c>
      <c r="E19" s="57" t="n">
        <f aca="false">IF(Inputs!$D$38=2,E17,E16)*E8</f>
        <v>0</v>
      </c>
      <c r="F19" s="57" t="n">
        <f aca="false">IF(Inputs!$D$38=2,F17,F16)*F8</f>
        <v>23.5495424</v>
      </c>
      <c r="G19" s="57" t="n">
        <f aca="false">IF(Inputs!$D$38=2,G17,G16)*G8</f>
        <v>23.4367042304</v>
      </c>
      <c r="H19" s="57" t="n">
        <f aca="false">IF(Inputs!$D$38=2,H17,H16)*H8</f>
        <v>23.3243174134784</v>
      </c>
      <c r="I19" s="57" t="n">
        <f aca="false">IF(Inputs!$D$38=2,I17,I16)*I8</f>
        <v>23.2123801438245</v>
      </c>
      <c r="J19" s="57" t="n">
        <f aca="false">IF(Inputs!$D$38=2,J17,J16)*J8</f>
        <v>23.1008906232492</v>
      </c>
      <c r="K19" s="57" t="n">
        <f aca="false">IF(Inputs!$D$38=2,K17,K16)*K8</f>
        <v>22.9898470607562</v>
      </c>
      <c r="L19" s="57" t="n">
        <f aca="false">IF(Inputs!$D$38=2,L17,L16)*L8</f>
        <v>22.8792476725132</v>
      </c>
      <c r="M19" s="57" t="n">
        <f aca="false">IF(Inputs!$D$38=2,M17,M16)*M8</f>
        <v>22.7690906818231</v>
      </c>
      <c r="N19" s="57" t="n">
        <f aca="false">IF(Inputs!$D$38=2,N17,N16)*N8</f>
        <v>22.6593743190958</v>
      </c>
      <c r="O19" s="57" t="n">
        <f aca="false">IF(Inputs!$D$38=2,O17,O16)*O8</f>
        <v>22.5500968218194</v>
      </c>
      <c r="P19" s="57" t="n">
        <f aca="false">IF(Inputs!$D$38=2,P17,P16)*P8</f>
        <v>0</v>
      </c>
      <c r="Q19" s="57" t="n">
        <f aca="false">IF(Inputs!$D$38=2,Q17,Q16)*Q8</f>
        <v>0</v>
      </c>
      <c r="R19" s="57" t="n">
        <f aca="false">IF(Inputs!$D$38=2,R17,R16)*R8</f>
        <v>0</v>
      </c>
      <c r="S19" s="57" t="n">
        <f aca="false">IF(Inputs!$D$38=2,S17,S16)*S8</f>
        <v>0</v>
      </c>
      <c r="T19" s="57" t="n">
        <f aca="false">IF(Inputs!$D$38=2,T17,T16)*T8</f>
        <v>0</v>
      </c>
      <c r="U19" s="57" t="n">
        <f aca="false">IF(Inputs!$D$38=2,U17,U16)*U8</f>
        <v>0</v>
      </c>
      <c r="V19" s="57" t="n">
        <f aca="false">IF(Inputs!$D$38=2,V17,V16)*V8</f>
        <v>0</v>
      </c>
      <c r="W19" s="57" t="n">
        <f aca="false">IF(Inputs!$D$38=2,W17,W16)*W8</f>
        <v>0</v>
      </c>
      <c r="X19" s="57" t="n">
        <f aca="false">IF(Inputs!$D$38=2,X17,X16)*X8</f>
        <v>0</v>
      </c>
      <c r="Y19" s="57" t="n">
        <f aca="false">IF(Inputs!$D$38=2,Y17,Y16)*Y8</f>
        <v>0</v>
      </c>
      <c r="Z19" s="57" t="n">
        <f aca="false">IF(Inputs!$D$38=2,Z17,Z16)*Z8</f>
        <v>0</v>
      </c>
      <c r="AA19" s="57" t="n">
        <f aca="false">IF(Inputs!$D$38=2,AA17,AA16)*AA8</f>
        <v>0</v>
      </c>
      <c r="AB19" s="57" t="n">
        <f aca="false">IF(Inputs!$D$38=2,AB17,AB16)*AB8</f>
        <v>0</v>
      </c>
      <c r="AC19" s="57" t="n">
        <f aca="false">IF(Inputs!$D$38=2,AC17,AC16)*AC8</f>
        <v>0</v>
      </c>
      <c r="AD19" s="57" t="n">
        <f aca="false">IF(Inputs!$D$38=2,AD17,AD16)*AD8</f>
        <v>0</v>
      </c>
    </row>
    <row r="20" customFormat="false" ht="15" hidden="false" customHeight="true" outlineLevel="0" collapsed="false">
      <c r="B20" s="4" t="s">
        <v>700</v>
      </c>
      <c r="C20" s="3"/>
      <c r="E20" s="64" t="n">
        <f aca="false">IF(E8=1,1/(1+Inputs!$D$51)^E5,0)</f>
        <v>0</v>
      </c>
      <c r="F20" s="64" t="n">
        <f aca="false">IF(F8=1,1/(1+Inputs!$D$51)^F5,0)</f>
        <v>0.904977375565611</v>
      </c>
      <c r="G20" s="64" t="n">
        <f aca="false">IF(G8=1,1/(1+Inputs!$D$51)^G5,0)</f>
        <v>0.818984050285621</v>
      </c>
      <c r="H20" s="64" t="n">
        <f aca="false">IF(H8=1,1/(1+Inputs!$D$51)^H5,0)</f>
        <v>0.741162036457575</v>
      </c>
      <c r="I20" s="64" t="n">
        <f aca="false">IF(I8=1,1/(1+Inputs!$D$51)^I5,0)</f>
        <v>0.67073487462224</v>
      </c>
      <c r="J20" s="64" t="n">
        <f aca="false">IF(J8=1,1/(1+Inputs!$D$51)^J5,0)</f>
        <v>0.606999886535964</v>
      </c>
      <c r="K20" s="64" t="n">
        <f aca="false">IF(K8=1,1/(1+Inputs!$D$51)^K5,0)</f>
        <v>0.54932116428594</v>
      </c>
      <c r="L20" s="64" t="n">
        <f aca="false">IF(L8=1,1/(1+Inputs!$D$51)^L5,0)</f>
        <v>0.497123225598136</v>
      </c>
      <c r="M20" s="64" t="n">
        <f aca="false">IF(M8=1,1/(1+Inputs!$D$51)^M5,0)</f>
        <v>0.449885272034512</v>
      </c>
      <c r="N20" s="64" t="n">
        <f aca="false">IF(N8=1,1/(1+Inputs!$D$51)^N5,0)</f>
        <v>0.407135992791414</v>
      </c>
      <c r="O20" s="64" t="n">
        <f aca="false">IF(O8=1,1/(1+Inputs!$D$51)^O5,0)</f>
        <v>0.368448862254673</v>
      </c>
      <c r="P20" s="64" t="n">
        <f aca="false">IF(P8=1,1/(1+Inputs!$D$51)^P5,0)</f>
        <v>0</v>
      </c>
      <c r="Q20" s="64" t="n">
        <f aca="false">IF(Q8=1,1/(1+Inputs!$D$51)^Q5,0)</f>
        <v>0</v>
      </c>
      <c r="R20" s="64" t="n">
        <f aca="false">IF(R8=1,1/(1+Inputs!$D$51)^R5,0)</f>
        <v>0</v>
      </c>
      <c r="S20" s="64" t="n">
        <f aca="false">IF(S8=1,1/(1+Inputs!$D$51)^S5,0)</f>
        <v>0</v>
      </c>
      <c r="T20" s="64" t="n">
        <f aca="false">IF(T8=1,1/(1+Inputs!$D$51)^T5,0)</f>
        <v>0</v>
      </c>
      <c r="U20" s="64" t="n">
        <f aca="false">IF(U8=1,1/(1+Inputs!$D$51)^U5,0)</f>
        <v>0</v>
      </c>
      <c r="V20" s="64" t="n">
        <f aca="false">IF(V8=1,1/(1+Inputs!$D$51)^V5,0)</f>
        <v>0</v>
      </c>
      <c r="W20" s="64" t="n">
        <f aca="false">IF(W8=1,1/(1+Inputs!$D$51)^W5,0)</f>
        <v>0</v>
      </c>
      <c r="X20" s="64" t="n">
        <f aca="false">IF(X8=1,1/(1+Inputs!$D$51)^X5,0)</f>
        <v>0</v>
      </c>
      <c r="Y20" s="64" t="n">
        <f aca="false">IF(Y8=1,1/(1+Inputs!$D$51)^Y5,0)</f>
        <v>0</v>
      </c>
      <c r="Z20" s="64" t="n">
        <f aca="false">IF(Z8=1,1/(1+Inputs!$D$51)^Z5,0)</f>
        <v>0</v>
      </c>
      <c r="AA20" s="64" t="n">
        <f aca="false">IF(AA8=1,1/(1+Inputs!$D$51)^AA5,0)</f>
        <v>0</v>
      </c>
      <c r="AB20" s="64" t="n">
        <f aca="false">IF(AB8=1,1/(1+Inputs!$D$51)^AB5,0)</f>
        <v>0</v>
      </c>
      <c r="AC20" s="64" t="n">
        <f aca="false">IF(AC8=1,1/(1+Inputs!$D$51)^AC5,0)</f>
        <v>0</v>
      </c>
      <c r="AD20" s="64" t="n">
        <f aca="false">IF(AD8=1,1/(1+Inputs!$D$51)^AD5,0)</f>
        <v>0</v>
      </c>
    </row>
    <row r="21" customFormat="false" ht="15" hidden="false" customHeight="true" outlineLevel="0" collapsed="false">
      <c r="B21" s="4" t="s">
        <v>701</v>
      </c>
      <c r="C21" s="3" t="s">
        <v>297</v>
      </c>
      <c r="D21" s="59" t="n">
        <f aca="false">SUM(E21:AD21)</f>
        <v>115.843789620083</v>
      </c>
      <c r="E21" s="57" t="n">
        <f aca="false">E16*E8/Inputs!$D$29*E20</f>
        <v>0</v>
      </c>
      <c r="F21" s="57" t="n">
        <f aca="false">F16*F8/Inputs!$D$29*F20</f>
        <v>17.7364427427776</v>
      </c>
      <c r="G21" s="57" t="n">
        <f aca="false">G16*G8/Inputs!$D$29*G20</f>
        <v>15.975132116302</v>
      </c>
      <c r="H21" s="57" t="n">
        <f aca="false">H16*H8/Inputs!$D$29*H20</f>
        <v>14.3886774810237</v>
      </c>
      <c r="I21" s="57" t="n">
        <f aca="false">I16*I8/Inputs!$D$29*I20</f>
        <v>12.959724568096</v>
      </c>
      <c r="J21" s="57" t="n">
        <f aca="false">J16*J8/Inputs!$D$29*J20</f>
        <v>11.672641053051</v>
      </c>
      <c r="K21" s="57" t="n">
        <f aca="false">K16*K8/Inputs!$D$29*K20</f>
        <v>10.5133457414587</v>
      </c>
      <c r="L21" s="57" t="n">
        <f aca="false">L16*L8/Inputs!$D$29*L20</f>
        <v>9.46915469511898</v>
      </c>
      <c r="M21" s="57" t="n">
        <f aca="false">M16*M8/Inputs!$D$29*M20</f>
        <v>8.52864261908452</v>
      </c>
      <c r="N21" s="57" t="n">
        <f aca="false">N16*N8/Inputs!$D$29*N20</f>
        <v>7.68151799632434</v>
      </c>
      <c r="O21" s="57" t="n">
        <f aca="false">O16*O8/Inputs!$D$29*O20</f>
        <v>6.91851060684658</v>
      </c>
      <c r="P21" s="57" t="n">
        <f aca="false">P16*P8/Inputs!$D$29*P20</f>
        <v>0</v>
      </c>
      <c r="Q21" s="57" t="n">
        <f aca="false">Q16*Q8/Inputs!$D$29*Q20</f>
        <v>0</v>
      </c>
      <c r="R21" s="57" t="n">
        <f aca="false">R16*R8/Inputs!$D$29*R20</f>
        <v>0</v>
      </c>
      <c r="S21" s="57" t="n">
        <f aca="false">S16*S8/Inputs!$D$29*S20</f>
        <v>0</v>
      </c>
      <c r="T21" s="57" t="n">
        <f aca="false">T16*T8/Inputs!$D$29*T20</f>
        <v>0</v>
      </c>
      <c r="U21" s="57" t="n">
        <f aca="false">U16*U8/Inputs!$D$29*U20</f>
        <v>0</v>
      </c>
      <c r="V21" s="57" t="n">
        <f aca="false">V16*V8/Inputs!$D$29*V20</f>
        <v>0</v>
      </c>
      <c r="W21" s="57" t="n">
        <f aca="false">W16*W8/Inputs!$D$29*W20</f>
        <v>0</v>
      </c>
      <c r="X21" s="57" t="n">
        <f aca="false">X16*X8/Inputs!$D$29*X20</f>
        <v>0</v>
      </c>
      <c r="Y21" s="57" t="n">
        <f aca="false">Y16*Y8/Inputs!$D$29*Y20</f>
        <v>0</v>
      </c>
      <c r="Z21" s="57" t="n">
        <f aca="false">Z16*Z8/Inputs!$D$29*Z20</f>
        <v>0</v>
      </c>
      <c r="AA21" s="57" t="n">
        <f aca="false">AA16*AA8/Inputs!$D$29*AA20</f>
        <v>0</v>
      </c>
      <c r="AB21" s="57" t="n">
        <f aca="false">AB16*AB8/Inputs!$D$29*AB20</f>
        <v>0</v>
      </c>
      <c r="AC21" s="57" t="n">
        <f aca="false">AC16*AC8/Inputs!$D$29*AC20</f>
        <v>0</v>
      </c>
      <c r="AD21" s="57" t="n">
        <f aca="false">AD16*AD8/Inputs!$D$29*AD20</f>
        <v>0</v>
      </c>
    </row>
    <row r="22" customFormat="false" ht="15" hidden="false" customHeight="true" outlineLevel="0" collapsed="false">
      <c r="B22" s="4" t="s">
        <v>702</v>
      </c>
      <c r="C22" s="3" t="s">
        <v>297</v>
      </c>
      <c r="D22" s="59" t="n">
        <f aca="false">SUM(E22:AD22)</f>
        <v>107.049905682778</v>
      </c>
      <c r="E22" s="57" t="n">
        <f aca="false">E17*E8/Inputs!$D$29*E20</f>
        <v>0</v>
      </c>
      <c r="F22" s="57" t="n">
        <f aca="false">F17*F8/Inputs!$D$29*F20</f>
        <v>16.3936946745562</v>
      </c>
      <c r="G22" s="57" t="n">
        <f aca="false">G17*G8/Inputs!$D$29*G20</f>
        <v>14.7648361199686</v>
      </c>
      <c r="H22" s="57" t="n">
        <f aca="false">H17*H8/Inputs!$D$29*H20</f>
        <v>13.2977681485819</v>
      </c>
      <c r="I22" s="57" t="n">
        <f aca="false">I17*I8/Inputs!$D$29*I20</f>
        <v>11.9764252965015</v>
      </c>
      <c r="J22" s="57" t="n">
        <f aca="false">J17*J8/Inputs!$D$29*J20</f>
        <v>10.7863369132246</v>
      </c>
      <c r="K22" s="57" t="n">
        <f aca="false">K17*K8/Inputs!$D$29*K20</f>
        <v>9.7144688878233</v>
      </c>
      <c r="L22" s="57" t="n">
        <f aca="false">L17*L8/Inputs!$D$29*L20</f>
        <v>8.74908107862953</v>
      </c>
      <c r="M22" s="57" t="n">
        <f aca="false">M17*M8/Inputs!$D$29*M20</f>
        <v>7.87959888874651</v>
      </c>
      <c r="N22" s="57" t="n">
        <f aca="false">N17*N8/Inputs!$D$29*N20</f>
        <v>7.09649758418257</v>
      </c>
      <c r="O22" s="57" t="n">
        <f aca="false">O17*O8/Inputs!$D$29*O20</f>
        <v>6.39119809056315</v>
      </c>
      <c r="P22" s="57" t="n">
        <f aca="false">P17*P8/Inputs!$D$29*P20</f>
        <v>0</v>
      </c>
      <c r="Q22" s="57" t="n">
        <f aca="false">Q17*Q8/Inputs!$D$29*Q20</f>
        <v>0</v>
      </c>
      <c r="R22" s="57" t="n">
        <f aca="false">R17*R8/Inputs!$D$29*R20</f>
        <v>0</v>
      </c>
      <c r="S22" s="57" t="n">
        <f aca="false">S17*S8/Inputs!$D$29*S20</f>
        <v>0</v>
      </c>
      <c r="T22" s="57" t="n">
        <f aca="false">T17*T8/Inputs!$D$29*T20</f>
        <v>0</v>
      </c>
      <c r="U22" s="57" t="n">
        <f aca="false">U17*U8/Inputs!$D$29*U20</f>
        <v>0</v>
      </c>
      <c r="V22" s="57" t="n">
        <f aca="false">V17*V8/Inputs!$D$29*V20</f>
        <v>0</v>
      </c>
      <c r="W22" s="57" t="n">
        <f aca="false">W17*W8/Inputs!$D$29*W20</f>
        <v>0</v>
      </c>
      <c r="X22" s="57" t="n">
        <f aca="false">X17*X8/Inputs!$D$29*X20</f>
        <v>0</v>
      </c>
      <c r="Y22" s="57" t="n">
        <f aca="false">Y17*Y8/Inputs!$D$29*Y20</f>
        <v>0</v>
      </c>
      <c r="Z22" s="57" t="n">
        <f aca="false">Z17*Z8/Inputs!$D$29*Z20</f>
        <v>0</v>
      </c>
      <c r="AA22" s="57" t="n">
        <f aca="false">AA17*AA8/Inputs!$D$29*AA20</f>
        <v>0</v>
      </c>
      <c r="AB22" s="57" t="n">
        <f aca="false">AB17*AB8/Inputs!$D$29*AB20</f>
        <v>0</v>
      </c>
      <c r="AC22" s="57" t="n">
        <f aca="false">AC17*AC8/Inputs!$D$29*AC20</f>
        <v>0</v>
      </c>
      <c r="AD22" s="57" t="n">
        <f aca="false">AD17*AD8/Inputs!$D$29*AD20</f>
        <v>0</v>
      </c>
    </row>
    <row r="23" customFormat="false" ht="15" hidden="false" customHeight="true" outlineLevel="0" collapsed="false">
      <c r="B23" s="4" t="s">
        <v>703</v>
      </c>
      <c r="C23" s="3" t="s">
        <v>297</v>
      </c>
      <c r="D23" s="59" t="n">
        <f aca="false">SUM(E23:AD23)</f>
        <v>177.285762589969</v>
      </c>
      <c r="E23" s="57" t="n">
        <f aca="false">IF('Sources &amp; Uses'!$D$18&gt;0,E19/Inputs!$D$29*'Sources &amp; Uses'!$D$19/'Sources &amp; Uses'!$D$18,0)</f>
        <v>0</v>
      </c>
      <c r="F23" s="57" t="n">
        <f aca="false">IF('Sources &amp; Uses'!$D$18&gt;0,F19/Inputs!$D$29*'Sources &amp; Uses'!$D$19/'Sources &amp; Uses'!$D$18,0)</f>
        <v>18.1150326153846</v>
      </c>
      <c r="G23" s="57" t="n">
        <f aca="false">IF('Sources &amp; Uses'!$D$18&gt;0,G19/Inputs!$D$29*'Sources &amp; Uses'!$D$19/'Sources &amp; Uses'!$D$18,0)</f>
        <v>18.0282340233846</v>
      </c>
      <c r="H23" s="57" t="n">
        <f aca="false">IF('Sources &amp; Uses'!$D$18&gt;0,H19/Inputs!$D$29*'Sources &amp; Uses'!$D$19/'Sources &amp; Uses'!$D$18,0)</f>
        <v>17.9417826257526</v>
      </c>
      <c r="I23" s="57" t="n">
        <f aca="false">IF('Sources &amp; Uses'!$D$18&gt;0,I19/Inputs!$D$29*'Sources &amp; Uses'!$D$19/'Sources &amp; Uses'!$D$18,0)</f>
        <v>17.8556770337111</v>
      </c>
      <c r="J23" s="57" t="n">
        <f aca="false">IF('Sources &amp; Uses'!$D$18&gt;0,J19/Inputs!$D$29*'Sources &amp; Uses'!$D$19/'Sources &amp; Uses'!$D$18,0)</f>
        <v>17.7699158640378</v>
      </c>
      <c r="K23" s="57" t="n">
        <f aca="false">IF('Sources &amp; Uses'!$D$18&gt;0,K19/Inputs!$D$29*'Sources &amp; Uses'!$D$19/'Sources &amp; Uses'!$D$18,0)</f>
        <v>17.6844977390432</v>
      </c>
      <c r="L23" s="57" t="n">
        <f aca="false">IF('Sources &amp; Uses'!$D$18&gt;0,L19/Inputs!$D$29*'Sources &amp; Uses'!$D$19/'Sources &amp; Uses'!$D$18,0)</f>
        <v>17.5994212865486</v>
      </c>
      <c r="M23" s="57" t="n">
        <f aca="false">IF('Sources &amp; Uses'!$D$18&gt;0,M19/Inputs!$D$29*'Sources &amp; Uses'!$D$19/'Sources &amp; Uses'!$D$18,0)</f>
        <v>17.5146851398639</v>
      </c>
      <c r="N23" s="57" t="n">
        <f aca="false">IF('Sources &amp; Uses'!$D$18&gt;0,N19/Inputs!$D$29*'Sources &amp; Uses'!$D$19/'Sources &amp; Uses'!$D$18,0)</f>
        <v>17.430287937766</v>
      </c>
      <c r="O23" s="57" t="n">
        <f aca="false">IF('Sources &amp; Uses'!$D$18&gt;0,O19/Inputs!$D$29*'Sources &amp; Uses'!$D$19/'Sources &amp; Uses'!$D$18,0)</f>
        <v>17.3462283244765</v>
      </c>
      <c r="P23" s="57" t="n">
        <f aca="false">IF('Sources &amp; Uses'!$D$18&gt;0,P19/Inputs!$D$29*'Sources &amp; Uses'!$D$19/'Sources &amp; Uses'!$D$18,0)</f>
        <v>0</v>
      </c>
      <c r="Q23" s="57" t="n">
        <f aca="false">IF('Sources &amp; Uses'!$D$18&gt;0,Q19/Inputs!$D$29*'Sources &amp; Uses'!$D$19/'Sources &amp; Uses'!$D$18,0)</f>
        <v>0</v>
      </c>
      <c r="R23" s="57" t="n">
        <f aca="false">IF('Sources &amp; Uses'!$D$18&gt;0,R19/Inputs!$D$29*'Sources &amp; Uses'!$D$19/'Sources &amp; Uses'!$D$18,0)</f>
        <v>0</v>
      </c>
      <c r="S23" s="57" t="n">
        <f aca="false">IF('Sources &amp; Uses'!$D$18&gt;0,S19/Inputs!$D$29*'Sources &amp; Uses'!$D$19/'Sources &amp; Uses'!$D$18,0)</f>
        <v>0</v>
      </c>
      <c r="T23" s="57" t="n">
        <f aca="false">IF('Sources &amp; Uses'!$D$18&gt;0,T19/Inputs!$D$29*'Sources &amp; Uses'!$D$19/'Sources &amp; Uses'!$D$18,0)</f>
        <v>0</v>
      </c>
      <c r="U23" s="57" t="n">
        <f aca="false">IF('Sources &amp; Uses'!$D$18&gt;0,U19/Inputs!$D$29*'Sources &amp; Uses'!$D$19/'Sources &amp; Uses'!$D$18,0)</f>
        <v>0</v>
      </c>
      <c r="V23" s="57" t="n">
        <f aca="false">IF('Sources &amp; Uses'!$D$18&gt;0,V19/Inputs!$D$29*'Sources &amp; Uses'!$D$19/'Sources &amp; Uses'!$D$18,0)</f>
        <v>0</v>
      </c>
      <c r="W23" s="57" t="n">
        <f aca="false">IF('Sources &amp; Uses'!$D$18&gt;0,W19/Inputs!$D$29*'Sources &amp; Uses'!$D$19/'Sources &amp; Uses'!$D$18,0)</f>
        <v>0</v>
      </c>
      <c r="X23" s="57" t="n">
        <f aca="false">IF('Sources &amp; Uses'!$D$18&gt;0,X19/Inputs!$D$29*'Sources &amp; Uses'!$D$19/'Sources &amp; Uses'!$D$18,0)</f>
        <v>0</v>
      </c>
      <c r="Y23" s="57" t="n">
        <f aca="false">IF('Sources &amp; Uses'!$D$18&gt;0,Y19/Inputs!$D$29*'Sources &amp; Uses'!$D$19/'Sources &amp; Uses'!$D$18,0)</f>
        <v>0</v>
      </c>
      <c r="Z23" s="57" t="n">
        <f aca="false">IF('Sources &amp; Uses'!$D$18&gt;0,Z19/Inputs!$D$29*'Sources &amp; Uses'!$D$19/'Sources &amp; Uses'!$D$18,0)</f>
        <v>0</v>
      </c>
      <c r="AA23" s="57" t="n">
        <f aca="false">IF('Sources &amp; Uses'!$D$18&gt;0,AA19/Inputs!$D$29*'Sources &amp; Uses'!$D$19/'Sources &amp; Uses'!$D$18,0)</f>
        <v>0</v>
      </c>
      <c r="AB23" s="57" t="n">
        <f aca="false">IF('Sources &amp; Uses'!$D$18&gt;0,AB19/Inputs!$D$29*'Sources &amp; Uses'!$D$19/'Sources &amp; Uses'!$D$18,0)</f>
        <v>0</v>
      </c>
      <c r="AC23" s="57" t="n">
        <f aca="false">IF('Sources &amp; Uses'!$D$18&gt;0,AC19/Inputs!$D$29*'Sources &amp; Uses'!$D$19/'Sources &amp; Uses'!$D$18,0)</f>
        <v>0</v>
      </c>
      <c r="AD23" s="57" t="n">
        <f aca="false">IF('Sources &amp; Uses'!$D$18&gt;0,AD19/Inputs!$D$29*'Sources &amp; Uses'!$D$19/'Sources &amp; Uses'!$D$18,0)</f>
        <v>0</v>
      </c>
    </row>
    <row r="24" customFormat="false" ht="15" hidden="false" customHeight="true" outlineLevel="0" collapsed="false">
      <c r="B24" s="21" t="s">
        <v>92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row>
    <row r="25" customFormat="false" ht="15" hidden="false" customHeight="true" outlineLevel="0" collapsed="false">
      <c r="B25" s="4" t="s">
        <v>704</v>
      </c>
      <c r="C25" s="3" t="s">
        <v>297</v>
      </c>
      <c r="E25" s="57" t="n">
        <v>0</v>
      </c>
      <c r="F25" s="57" t="n">
        <f aca="false">E29</f>
        <v>107.049905682778</v>
      </c>
      <c r="G25" s="57" t="n">
        <f aca="false">F29</f>
        <v>100.175113164085</v>
      </c>
      <c r="H25" s="57" t="n">
        <f aca="false">G29</f>
        <v>92.6652660229292</v>
      </c>
      <c r="I25" s="57" t="n">
        <f aca="false">H29</f>
        <v>84.4533363295842</v>
      </c>
      <c r="J25" s="57" t="n">
        <f aca="false">I29</f>
        <v>75.4652596104793</v>
      </c>
      <c r="K25" s="57" t="n">
        <f aca="false">J29</f>
        <v>65.6191960055418</v>
      </c>
      <c r="L25" s="57" t="n">
        <f aca="false">K29</f>
        <v>54.8247138470805</v>
      </c>
      <c r="M25" s="57" t="n">
        <f aca="false">L29</f>
        <v>42.9818875144754</v>
      </c>
      <c r="N25" s="57" t="n">
        <f aca="false">M29</f>
        <v>29.9803005636314</v>
      </c>
      <c r="O25" s="57" t="n">
        <f aca="false">N29</f>
        <v>15.6979441850466</v>
      </c>
      <c r="P25" s="57" t="n">
        <f aca="false">O29</f>
        <v>0</v>
      </c>
      <c r="Q25" s="57" t="n">
        <f aca="false">P29</f>
        <v>0</v>
      </c>
      <c r="R25" s="57" t="n">
        <f aca="false">Q29</f>
        <v>0</v>
      </c>
      <c r="S25" s="57" t="n">
        <f aca="false">R29</f>
        <v>0</v>
      </c>
      <c r="T25" s="57" t="n">
        <f aca="false">S29</f>
        <v>0</v>
      </c>
      <c r="U25" s="57" t="n">
        <f aca="false">T29</f>
        <v>0</v>
      </c>
      <c r="V25" s="57" t="n">
        <f aca="false">U29</f>
        <v>0</v>
      </c>
      <c r="W25" s="57" t="n">
        <f aca="false">V29</f>
        <v>0</v>
      </c>
      <c r="X25" s="57" t="n">
        <f aca="false">W29</f>
        <v>0</v>
      </c>
      <c r="Y25" s="57" t="n">
        <f aca="false">X29</f>
        <v>0</v>
      </c>
      <c r="Z25" s="57" t="n">
        <f aca="false">Y29</f>
        <v>0</v>
      </c>
      <c r="AA25" s="57" t="n">
        <f aca="false">Z29</f>
        <v>0</v>
      </c>
      <c r="AB25" s="57" t="n">
        <f aca="false">AA29</f>
        <v>0</v>
      </c>
      <c r="AC25" s="57" t="n">
        <f aca="false">AB29</f>
        <v>0</v>
      </c>
      <c r="AD25" s="57" t="n">
        <f aca="false">AC29</f>
        <v>0</v>
      </c>
    </row>
    <row r="26" customFormat="false" ht="15" hidden="false" customHeight="true" outlineLevel="0" collapsed="false">
      <c r="B26" s="4" t="s">
        <v>705</v>
      </c>
      <c r="C26" s="3" t="s">
        <v>297</v>
      </c>
      <c r="D26" s="59" t="n">
        <f aca="false">SUM(E26:AD26)</f>
        <v>107.049905682778</v>
      </c>
      <c r="E26" s="57" t="n">
        <f aca="false">'Sources &amp; Uses'!$D$19</f>
        <v>107.049905682778</v>
      </c>
      <c r="F26" s="57" t="n">
        <v>0</v>
      </c>
      <c r="G26" s="57" t="n">
        <v>0</v>
      </c>
      <c r="H26" s="57" t="n">
        <v>0</v>
      </c>
      <c r="I26" s="57" t="n">
        <v>0</v>
      </c>
      <c r="J26" s="57" t="n">
        <v>0</v>
      </c>
      <c r="K26" s="57" t="n">
        <v>0</v>
      </c>
      <c r="L26" s="57" t="n">
        <v>0</v>
      </c>
      <c r="M26" s="57" t="n">
        <v>0</v>
      </c>
      <c r="N26" s="57" t="n">
        <v>0</v>
      </c>
      <c r="O26" s="57" t="n">
        <v>0</v>
      </c>
      <c r="P26" s="57" t="n">
        <v>0</v>
      </c>
      <c r="Q26" s="57" t="n">
        <v>0</v>
      </c>
      <c r="R26" s="57" t="n">
        <v>0</v>
      </c>
      <c r="S26" s="57" t="n">
        <v>0</v>
      </c>
      <c r="T26" s="57" t="n">
        <v>0</v>
      </c>
      <c r="U26" s="57" t="n">
        <v>0</v>
      </c>
      <c r="V26" s="57" t="n">
        <v>0</v>
      </c>
      <c r="W26" s="57" t="n">
        <v>0</v>
      </c>
      <c r="X26" s="57" t="n">
        <v>0</v>
      </c>
      <c r="Y26" s="57" t="n">
        <v>0</v>
      </c>
      <c r="Z26" s="57" t="n">
        <v>0</v>
      </c>
      <c r="AA26" s="57" t="n">
        <v>0</v>
      </c>
      <c r="AB26" s="57" t="n">
        <v>0</v>
      </c>
      <c r="AC26" s="57" t="n">
        <v>0</v>
      </c>
      <c r="AD26" s="57" t="n">
        <v>0</v>
      </c>
    </row>
    <row r="27" customFormat="false" ht="15" hidden="false" customHeight="true" outlineLevel="0" collapsed="false">
      <c r="B27" s="4" t="s">
        <v>706</v>
      </c>
      <c r="C27" s="3" t="s">
        <v>297</v>
      </c>
      <c r="D27" s="59" t="n">
        <f aca="false">SUM(E27:AD27)</f>
        <v>73.0459169313642</v>
      </c>
      <c r="E27" s="57" t="n">
        <f aca="false">'Sources &amp; Uses'!$D$19*Inputs!$D$51*Inputs!$D$9/12</f>
        <v>2.81006002417292</v>
      </c>
      <c r="F27" s="57" t="n">
        <f aca="false">F25*Inputs!$D$51</f>
        <v>11.2402400966917</v>
      </c>
      <c r="G27" s="57" t="n">
        <f aca="false">G25*Inputs!$D$51</f>
        <v>10.5183868822289</v>
      </c>
      <c r="H27" s="57" t="n">
        <f aca="false">H25*Inputs!$D$51</f>
        <v>9.72985293240756</v>
      </c>
      <c r="I27" s="57" t="n">
        <f aca="false">I25*Inputs!$D$51</f>
        <v>8.86760031460634</v>
      </c>
      <c r="J27" s="57" t="n">
        <f aca="false">J25*Inputs!$D$51</f>
        <v>7.92385225910033</v>
      </c>
      <c r="K27" s="57" t="n">
        <f aca="false">K25*Inputs!$D$51</f>
        <v>6.89001558058189</v>
      </c>
      <c r="L27" s="57" t="n">
        <f aca="false">L25*Inputs!$D$51</f>
        <v>5.75659495394345</v>
      </c>
      <c r="M27" s="57" t="n">
        <f aca="false">M25*Inputs!$D$51</f>
        <v>4.51309818901991</v>
      </c>
      <c r="N27" s="57" t="n">
        <f aca="false">N25*Inputs!$D$51</f>
        <v>3.14793155918129</v>
      </c>
      <c r="O27" s="57" t="n">
        <f aca="false">O25*Inputs!$D$51</f>
        <v>1.6482841394299</v>
      </c>
      <c r="P27" s="57" t="n">
        <f aca="false">P25*Inputs!$D$51</f>
        <v>0</v>
      </c>
      <c r="Q27" s="57" t="n">
        <f aca="false">Q25*Inputs!$D$51</f>
        <v>0</v>
      </c>
      <c r="R27" s="57" t="n">
        <f aca="false">R25*Inputs!$D$51</f>
        <v>0</v>
      </c>
      <c r="S27" s="57" t="n">
        <f aca="false">S25*Inputs!$D$51</f>
        <v>0</v>
      </c>
      <c r="T27" s="57" t="n">
        <f aca="false">T25*Inputs!$D$51</f>
        <v>0</v>
      </c>
      <c r="U27" s="57" t="n">
        <f aca="false">U25*Inputs!$D$51</f>
        <v>0</v>
      </c>
      <c r="V27" s="57" t="n">
        <f aca="false">V25*Inputs!$D$51</f>
        <v>0</v>
      </c>
      <c r="W27" s="57" t="n">
        <f aca="false">W25*Inputs!$D$51</f>
        <v>0</v>
      </c>
      <c r="X27" s="57" t="n">
        <f aca="false">X25*Inputs!$D$51</f>
        <v>0</v>
      </c>
      <c r="Y27" s="57" t="n">
        <f aca="false">Y25*Inputs!$D$51</f>
        <v>0</v>
      </c>
      <c r="Z27" s="57" t="n">
        <f aca="false">Z25*Inputs!$D$51</f>
        <v>0</v>
      </c>
      <c r="AA27" s="57" t="n">
        <f aca="false">AA25*Inputs!$D$51</f>
        <v>0</v>
      </c>
      <c r="AB27" s="57" t="n">
        <f aca="false">AB25*Inputs!$D$51</f>
        <v>0</v>
      </c>
      <c r="AC27" s="57" t="n">
        <f aca="false">AC25*Inputs!$D$51</f>
        <v>0</v>
      </c>
      <c r="AD27" s="57" t="n">
        <f aca="false">AD25*Inputs!$D$51</f>
        <v>0</v>
      </c>
    </row>
    <row r="28" customFormat="false" ht="15" hidden="false" customHeight="true" outlineLevel="0" collapsed="false">
      <c r="B28" s="4" t="s">
        <v>707</v>
      </c>
      <c r="C28" s="3" t="s">
        <v>297</v>
      </c>
      <c r="D28" s="59" t="n">
        <f aca="false">SUM(E28:AD28)</f>
        <v>107.049905682778</v>
      </c>
      <c r="E28" s="57" t="n">
        <f aca="false">IF(E5=Inputs!$D$31,E25,MIN(E25,MAX(0,E23-E27))*E8)</f>
        <v>0</v>
      </c>
      <c r="F28" s="57" t="n">
        <f aca="false">IF(F5=Inputs!$D$31,F25,MIN(F25,MAX(0,F23-F27))*F8)</f>
        <v>6.87479251869294</v>
      </c>
      <c r="G28" s="57" t="n">
        <f aca="false">IF(G5=Inputs!$D$31,G25,MIN(G25,MAX(0,G23-G27))*G8)</f>
        <v>7.5098471411557</v>
      </c>
      <c r="H28" s="57" t="n">
        <f aca="false">IF(H5=Inputs!$D$31,H25,MIN(H25,MAX(0,H23-H27))*H8)</f>
        <v>8.21192969334505</v>
      </c>
      <c r="I28" s="57" t="n">
        <f aca="false">IF(I5=Inputs!$D$31,I25,MIN(I25,MAX(0,I23-I27))*I8)</f>
        <v>8.9880767191048</v>
      </c>
      <c r="J28" s="57" t="n">
        <f aca="false">IF(J5=Inputs!$D$31,J25,MIN(J25,MAX(0,J23-J27))*J8)</f>
        <v>9.8460636049375</v>
      </c>
      <c r="K28" s="57" t="n">
        <f aca="false">IF(K5=Inputs!$D$31,K25,MIN(K25,MAX(0,K23-K27))*K8)</f>
        <v>10.7944821584613</v>
      </c>
      <c r="L28" s="57" t="n">
        <f aca="false">IF(L5=Inputs!$D$31,L25,MIN(L25,MAX(0,L23-L27))*L8)</f>
        <v>11.8428263326051</v>
      </c>
      <c r="M28" s="57" t="n">
        <f aca="false">IF(M5=Inputs!$D$31,M25,MIN(M25,MAX(0,M23-M27))*M8)</f>
        <v>13.001586950844</v>
      </c>
      <c r="N28" s="57" t="n">
        <f aca="false">IF(N5=Inputs!$D$31,N25,MIN(N25,MAX(0,N23-N27))*N8)</f>
        <v>14.2823563785847</v>
      </c>
      <c r="O28" s="57" t="n">
        <f aca="false">IF(O5=Inputs!$D$31,O25,MIN(O25,MAX(0,O23-O27))*O8)</f>
        <v>15.6979441850466</v>
      </c>
      <c r="P28" s="57" t="n">
        <f aca="false">IF(P5=Inputs!$D$31,P25,MIN(P25,MAX(0,P23-P27))*P8)</f>
        <v>0</v>
      </c>
      <c r="Q28" s="57" t="n">
        <f aca="false">IF(Q5=Inputs!$D$31,Q25,MIN(Q25,MAX(0,Q23-Q27))*Q8)</f>
        <v>0</v>
      </c>
      <c r="R28" s="57" t="n">
        <f aca="false">IF(R5=Inputs!$D$31,R25,MIN(R25,MAX(0,R23-R27))*R8)</f>
        <v>0</v>
      </c>
      <c r="S28" s="57" t="n">
        <f aca="false">IF(S5=Inputs!$D$31,S25,MIN(S25,MAX(0,S23-S27))*S8)</f>
        <v>0</v>
      </c>
      <c r="T28" s="57" t="n">
        <f aca="false">IF(T5=Inputs!$D$31,T25,MIN(T25,MAX(0,T23-T27))*T8)</f>
        <v>0</v>
      </c>
      <c r="U28" s="57" t="n">
        <f aca="false">IF(U5=Inputs!$D$31,U25,MIN(U25,MAX(0,U23-U27))*U8)</f>
        <v>0</v>
      </c>
      <c r="V28" s="57" t="n">
        <f aca="false">IF(V5=Inputs!$D$31,V25,MIN(V25,MAX(0,V23-V27))*V8)</f>
        <v>0</v>
      </c>
      <c r="W28" s="57" t="n">
        <f aca="false">IF(W5=Inputs!$D$31,W25,MIN(W25,MAX(0,W23-W27))*W8)</f>
        <v>0</v>
      </c>
      <c r="X28" s="57" t="n">
        <f aca="false">IF(X5=Inputs!$D$31,X25,MIN(X25,MAX(0,X23-X27))*X8)</f>
        <v>0</v>
      </c>
      <c r="Y28" s="57" t="n">
        <f aca="false">IF(Y5=Inputs!$D$31,Y25,MIN(Y25,MAX(0,Y23-Y27))*Y8)</f>
        <v>0</v>
      </c>
      <c r="Z28" s="57" t="n">
        <f aca="false">IF(Z5=Inputs!$D$31,Z25,MIN(Z25,MAX(0,Z23-Z27))*Z8)</f>
        <v>0</v>
      </c>
      <c r="AA28" s="57" t="n">
        <f aca="false">IF(AA5=Inputs!$D$31,AA25,MIN(AA25,MAX(0,AA23-AA27))*AA8)</f>
        <v>0</v>
      </c>
      <c r="AB28" s="57" t="n">
        <f aca="false">IF(AB5=Inputs!$D$31,AB25,MIN(AB25,MAX(0,AB23-AB27))*AB8)</f>
        <v>0</v>
      </c>
      <c r="AC28" s="57" t="n">
        <f aca="false">IF(AC5=Inputs!$D$31,AC25,MIN(AC25,MAX(0,AC23-AC27))*AC8)</f>
        <v>0</v>
      </c>
      <c r="AD28" s="57" t="n">
        <f aca="false">IF(AD5=Inputs!$D$31,AD25,MIN(AD25,MAX(0,AD23-AD27))*AD8)</f>
        <v>0</v>
      </c>
    </row>
    <row r="29" customFormat="false" ht="15" hidden="false" customHeight="true" outlineLevel="0" collapsed="false">
      <c r="B29" s="4" t="s">
        <v>708</v>
      </c>
      <c r="C29" s="3" t="s">
        <v>297</v>
      </c>
      <c r="D29" s="59" t="n">
        <f aca="false">AD29</f>
        <v>0</v>
      </c>
      <c r="E29" s="57" t="n">
        <f aca="false">E25+E26-E28</f>
        <v>107.049905682778</v>
      </c>
      <c r="F29" s="57" t="n">
        <f aca="false">F25+F26-F28</f>
        <v>100.175113164085</v>
      </c>
      <c r="G29" s="57" t="n">
        <f aca="false">G25+G26-G28</f>
        <v>92.6652660229292</v>
      </c>
      <c r="H29" s="57" t="n">
        <f aca="false">H25+H26-H28</f>
        <v>84.4533363295842</v>
      </c>
      <c r="I29" s="57" t="n">
        <f aca="false">I25+I26-I28</f>
        <v>75.4652596104793</v>
      </c>
      <c r="J29" s="57" t="n">
        <f aca="false">J25+J26-J28</f>
        <v>65.6191960055418</v>
      </c>
      <c r="K29" s="57" t="n">
        <f aca="false">K25+K26-K28</f>
        <v>54.8247138470805</v>
      </c>
      <c r="L29" s="57" t="n">
        <f aca="false">L25+L26-L28</f>
        <v>42.9818875144754</v>
      </c>
      <c r="M29" s="57" t="n">
        <f aca="false">M25+M26-M28</f>
        <v>29.9803005636314</v>
      </c>
      <c r="N29" s="57" t="n">
        <f aca="false">N25+N26-N28</f>
        <v>15.6979441850466</v>
      </c>
      <c r="O29" s="57" t="n">
        <f aca="false">O25+O26-O28</f>
        <v>0</v>
      </c>
      <c r="P29" s="57" t="n">
        <f aca="false">P25+P26-P28</f>
        <v>0</v>
      </c>
      <c r="Q29" s="57" t="n">
        <f aca="false">Q25+Q26-Q28</f>
        <v>0</v>
      </c>
      <c r="R29" s="57" t="n">
        <f aca="false">R25+R26-R28</f>
        <v>0</v>
      </c>
      <c r="S29" s="57" t="n">
        <f aca="false">S25+S26-S28</f>
        <v>0</v>
      </c>
      <c r="T29" s="57" t="n">
        <f aca="false">T25+T26-T28</f>
        <v>0</v>
      </c>
      <c r="U29" s="57" t="n">
        <f aca="false">U25+U26-U28</f>
        <v>0</v>
      </c>
      <c r="V29" s="57" t="n">
        <f aca="false">V25+V26-V28</f>
        <v>0</v>
      </c>
      <c r="W29" s="57" t="n">
        <f aca="false">W25+W26-W28</f>
        <v>0</v>
      </c>
      <c r="X29" s="57" t="n">
        <f aca="false">X25+X26-X28</f>
        <v>0</v>
      </c>
      <c r="Y29" s="57" t="n">
        <f aca="false">Y25+Y26-Y28</f>
        <v>0</v>
      </c>
      <c r="Z29" s="57" t="n">
        <f aca="false">Z25+Z26-Z28</f>
        <v>0</v>
      </c>
      <c r="AA29" s="57" t="n">
        <f aca="false">AA25+AA26-AA28</f>
        <v>0</v>
      </c>
      <c r="AB29" s="57" t="n">
        <f aca="false">AB25+AB26-AB28</f>
        <v>0</v>
      </c>
      <c r="AC29" s="57" t="n">
        <f aca="false">AC25+AC26-AC28</f>
        <v>0</v>
      </c>
      <c r="AD29" s="57" t="n">
        <f aca="false">AD25+AD26-AD28</f>
        <v>0</v>
      </c>
    </row>
    <row r="30" customFormat="false" ht="15" hidden="false" customHeight="true" outlineLevel="0" collapsed="false">
      <c r="B30" s="40" t="s">
        <v>397</v>
      </c>
      <c r="C30" s="3" t="s">
        <v>297</v>
      </c>
      <c r="D30" s="59" t="n">
        <f aca="false">SUM(E30:AD30)</f>
        <v>180.095822614142</v>
      </c>
      <c r="E30" s="57" t="n">
        <f aca="false">E27+E28</f>
        <v>2.81006002417292</v>
      </c>
      <c r="F30" s="57" t="n">
        <f aca="false">F27+F28</f>
        <v>18.1150326153846</v>
      </c>
      <c r="G30" s="57" t="n">
        <f aca="false">G27+G28</f>
        <v>18.0282340233846</v>
      </c>
      <c r="H30" s="57" t="n">
        <f aca="false">H27+H28</f>
        <v>17.9417826257526</v>
      </c>
      <c r="I30" s="57" t="n">
        <f aca="false">I27+I28</f>
        <v>17.8556770337111</v>
      </c>
      <c r="J30" s="57" t="n">
        <f aca="false">J27+J28</f>
        <v>17.7699158640378</v>
      </c>
      <c r="K30" s="57" t="n">
        <f aca="false">K27+K28</f>
        <v>17.6844977390432</v>
      </c>
      <c r="L30" s="57" t="n">
        <f aca="false">L27+L28</f>
        <v>17.5994212865486</v>
      </c>
      <c r="M30" s="57" t="n">
        <f aca="false">M27+M28</f>
        <v>17.5146851398639</v>
      </c>
      <c r="N30" s="57" t="n">
        <f aca="false">N27+N28</f>
        <v>17.430287937766</v>
      </c>
      <c r="O30" s="57" t="n">
        <f aca="false">O27+O28</f>
        <v>17.3462283244765</v>
      </c>
      <c r="P30" s="57" t="n">
        <f aca="false">P27+P28</f>
        <v>0</v>
      </c>
      <c r="Q30" s="57" t="n">
        <f aca="false">Q27+Q28</f>
        <v>0</v>
      </c>
      <c r="R30" s="57" t="n">
        <f aca="false">R27+R28</f>
        <v>0</v>
      </c>
      <c r="S30" s="57" t="n">
        <f aca="false">S27+S28</f>
        <v>0</v>
      </c>
      <c r="T30" s="57" t="n">
        <f aca="false">T27+T28</f>
        <v>0</v>
      </c>
      <c r="U30" s="57" t="n">
        <f aca="false">U27+U28</f>
        <v>0</v>
      </c>
      <c r="V30" s="57" t="n">
        <f aca="false">V27+V28</f>
        <v>0</v>
      </c>
      <c r="W30" s="57" t="n">
        <f aca="false">W27+W28</f>
        <v>0</v>
      </c>
      <c r="X30" s="57" t="n">
        <f aca="false">X27+X28</f>
        <v>0</v>
      </c>
      <c r="Y30" s="57" t="n">
        <f aca="false">Y27+Y28</f>
        <v>0</v>
      </c>
      <c r="Z30" s="57" t="n">
        <f aca="false">Z27+Z28</f>
        <v>0</v>
      </c>
      <c r="AA30" s="57" t="n">
        <f aca="false">AA27+AA28</f>
        <v>0</v>
      </c>
      <c r="AB30" s="57" t="n">
        <f aca="false">AB27+AB28</f>
        <v>0</v>
      </c>
      <c r="AC30" s="57" t="n">
        <f aca="false">AC27+AC28</f>
        <v>0</v>
      </c>
      <c r="AD30" s="57" t="n">
        <f aca="false">AD27+AD28</f>
        <v>0</v>
      </c>
    </row>
    <row r="31" customFormat="false" ht="15" hidden="false" customHeight="true" outlineLevel="0" collapsed="false">
      <c r="B31" s="4" t="s">
        <v>709</v>
      </c>
      <c r="C31" s="3" t="s">
        <v>225</v>
      </c>
      <c r="D31" s="44" t="n">
        <f aca="false">MIN(E31:AD31)</f>
        <v>1.40647828469058</v>
      </c>
      <c r="E31" s="65" t="str">
        <f aca="false">IF(E8=1,E16/E30,"")</f>
        <v/>
      </c>
      <c r="F31" s="65" t="n">
        <f aca="false">IF(F8=1,F16/F30,"")</f>
        <v>1.40647828469058</v>
      </c>
      <c r="G31" s="65" t="n">
        <f aca="false">IF(G8=1,G16/G30,"")</f>
        <v>1.40656297045557</v>
      </c>
      <c r="H31" s="65" t="n">
        <f aca="false">IF(H8=1,H16/H30,"")</f>
        <v>1.40664813195179</v>
      </c>
      <c r="I31" s="65" t="n">
        <f aca="false">IF(I8=1,I16/I30,"")</f>
        <v>1.40673377250943</v>
      </c>
      <c r="J31" s="65" t="n">
        <f aca="false">IF(J8=1,J16/J30,"")</f>
        <v>1.40681989548849</v>
      </c>
      <c r="K31" s="65" t="n">
        <f aca="false">IF(K8=1,K16/K30,"")</f>
        <v>1.40690650427918</v>
      </c>
      <c r="L31" s="65" t="n">
        <f aca="false">IF(L8=1,L16/L30,"")</f>
        <v>1.40699360230217</v>
      </c>
      <c r="M31" s="65" t="n">
        <f aca="false">IF(M8=1,M16/M30,"")</f>
        <v>1.40708119300901</v>
      </c>
      <c r="N31" s="65" t="n">
        <f aca="false">IF(N8=1,N16/N30,"")</f>
        <v>1.40716927988244</v>
      </c>
      <c r="O31" s="65" t="n">
        <f aca="false">IF(O8=1,O16/O30,"")</f>
        <v>1.40725786643675</v>
      </c>
      <c r="P31" s="65" t="str">
        <f aca="false">IF(P8=1,P16/P30,"")</f>
        <v/>
      </c>
      <c r="Q31" s="65" t="str">
        <f aca="false">IF(Q8=1,Q16/Q30,"")</f>
        <v/>
      </c>
      <c r="R31" s="65" t="str">
        <f aca="false">IF(R8=1,R16/R30,"")</f>
        <v/>
      </c>
      <c r="S31" s="65" t="str">
        <f aca="false">IF(S8=1,S16/S30,"")</f>
        <v/>
      </c>
      <c r="T31" s="65" t="str">
        <f aca="false">IF(T8=1,T16/T30,"")</f>
        <v/>
      </c>
      <c r="U31" s="65" t="str">
        <f aca="false">IF(U8=1,U16/U30,"")</f>
        <v/>
      </c>
      <c r="V31" s="65" t="str">
        <f aca="false">IF(V8=1,V16/V30,"")</f>
        <v/>
      </c>
      <c r="W31" s="65" t="str">
        <f aca="false">IF(W8=1,W16/W30,"")</f>
        <v/>
      </c>
      <c r="X31" s="65" t="str">
        <f aca="false">IF(X8=1,X16/X30,"")</f>
        <v/>
      </c>
      <c r="Y31" s="65" t="str">
        <f aca="false">IF(Y8=1,Y16/Y30,"")</f>
        <v/>
      </c>
      <c r="Z31" s="65" t="str">
        <f aca="false">IF(Z8=1,Z16/Z30,"")</f>
        <v/>
      </c>
      <c r="AA31" s="65" t="str">
        <f aca="false">IF(AA8=1,AA16/AA30,"")</f>
        <v/>
      </c>
      <c r="AB31" s="65" t="str">
        <f aca="false">IF(AB8=1,AB16/AB30,"")</f>
        <v/>
      </c>
      <c r="AC31" s="65" t="str">
        <f aca="false">IF(AC8=1,AC16/AC30,"")</f>
        <v/>
      </c>
      <c r="AD31" s="65" t="str">
        <f aca="false">IF(AD8=1,AD16/AD30,"")</f>
        <v/>
      </c>
    </row>
    <row r="32" customFormat="false" ht="15" hidden="false" customHeight="true" outlineLevel="0" collapsed="false">
      <c r="B32" s="4" t="s">
        <v>710</v>
      </c>
      <c r="C32" s="3" t="s">
        <v>225</v>
      </c>
      <c r="D32" s="44" t="n">
        <f aca="false">MIN(E32:AD32)</f>
        <v>1.3</v>
      </c>
      <c r="E32" s="65" t="str">
        <f aca="false">IF(E8=1,E17/E30,"")</f>
        <v/>
      </c>
      <c r="F32" s="65" t="n">
        <f aca="false">IF(F8=1,F17/F30,"")</f>
        <v>1.3</v>
      </c>
      <c r="G32" s="65" t="n">
        <f aca="false">IF(G8=1,G17/G30,"")</f>
        <v>1.3</v>
      </c>
      <c r="H32" s="65" t="n">
        <f aca="false">IF(H8=1,H17/H30,"")</f>
        <v>1.3</v>
      </c>
      <c r="I32" s="65" t="n">
        <f aca="false">IF(I8=1,I17/I30,"")</f>
        <v>1.3</v>
      </c>
      <c r="J32" s="65" t="n">
        <f aca="false">IF(J8=1,J17/J30,"")</f>
        <v>1.3</v>
      </c>
      <c r="K32" s="65" t="n">
        <f aca="false">IF(K8=1,K17/K30,"")</f>
        <v>1.3</v>
      </c>
      <c r="L32" s="65" t="n">
        <f aca="false">IF(L8=1,L17/L30,"")</f>
        <v>1.3</v>
      </c>
      <c r="M32" s="65" t="n">
        <f aca="false">IF(M8=1,M17/M30,"")</f>
        <v>1.3</v>
      </c>
      <c r="N32" s="65" t="n">
        <f aca="false">IF(N8=1,N17/N30,"")</f>
        <v>1.3</v>
      </c>
      <c r="O32" s="65" t="n">
        <f aca="false">IF(O8=1,O17/O30,"")</f>
        <v>1.3</v>
      </c>
      <c r="P32" s="65" t="str">
        <f aca="false">IF(P8=1,P17/P30,"")</f>
        <v/>
      </c>
      <c r="Q32" s="65" t="str">
        <f aca="false">IF(Q8=1,Q17/Q30,"")</f>
        <v/>
      </c>
      <c r="R32" s="65" t="str">
        <f aca="false">IF(R8=1,R17/R30,"")</f>
        <v/>
      </c>
      <c r="S32" s="65" t="str">
        <f aca="false">IF(S8=1,S17/S30,"")</f>
        <v/>
      </c>
      <c r="T32" s="65" t="str">
        <f aca="false">IF(T8=1,T17/T30,"")</f>
        <v/>
      </c>
      <c r="U32" s="65" t="str">
        <f aca="false">IF(U8=1,U17/U30,"")</f>
        <v/>
      </c>
      <c r="V32" s="65" t="str">
        <f aca="false">IF(V8=1,V17/V30,"")</f>
        <v/>
      </c>
      <c r="W32" s="65" t="str">
        <f aca="false">IF(W8=1,W17/W30,"")</f>
        <v/>
      </c>
      <c r="X32" s="65" t="str">
        <f aca="false">IF(X8=1,X17/X30,"")</f>
        <v/>
      </c>
      <c r="Y32" s="65" t="str">
        <f aca="false">IF(Y8=1,Y17/Y30,"")</f>
        <v/>
      </c>
      <c r="Z32" s="65" t="str">
        <f aca="false">IF(Z8=1,Z17/Z30,"")</f>
        <v/>
      </c>
      <c r="AA32" s="65" t="str">
        <f aca="false">IF(AA8=1,AA17/AA30,"")</f>
        <v/>
      </c>
      <c r="AB32" s="65" t="str">
        <f aca="false">IF(AB8=1,AB17/AB30,"")</f>
        <v/>
      </c>
      <c r="AC32" s="65" t="str">
        <f aca="false">IF(AC8=1,AC17/AC30,"")</f>
        <v/>
      </c>
      <c r="AD32" s="65" t="str">
        <f aca="false">IF(AD8=1,AD17/AD30,"")</f>
        <v/>
      </c>
    </row>
    <row r="33" customFormat="false" ht="15" hidden="false" customHeight="true" outlineLevel="0" collapsed="false">
      <c r="B33" s="4" t="s">
        <v>711</v>
      </c>
      <c r="C33" s="3" t="s">
        <v>225</v>
      </c>
      <c r="D33" s="44" t="n">
        <f aca="false">MIN(E33:AD33)</f>
        <v>1.40647828469058</v>
      </c>
      <c r="E33" s="65" t="str">
        <f aca="false">IF(E8=1,(E16-E46)/E30,"")</f>
        <v/>
      </c>
      <c r="F33" s="65" t="n">
        <f aca="false">IF(F8=1,(F16-F46)/F30,"")</f>
        <v>1.40647828469058</v>
      </c>
      <c r="G33" s="65" t="n">
        <f aca="false">IF(G8=1,(G16-G46)/G30,"")</f>
        <v>1.40656297045557</v>
      </c>
      <c r="H33" s="65" t="n">
        <f aca="false">IF(H8=1,(H16-H46)/H30,"")</f>
        <v>1.40664813195179</v>
      </c>
      <c r="I33" s="65" t="n">
        <f aca="false">IF(I8=1,(I16-I46)/I30,"")</f>
        <v>1.40673377250943</v>
      </c>
      <c r="J33" s="65" t="n">
        <f aca="false">IF(J8=1,(J16-J46)/J30,"")</f>
        <v>1.40681989548849</v>
      </c>
      <c r="K33" s="65" t="n">
        <f aca="false">IF(K8=1,(K16-K46)/K30,"")</f>
        <v>1.40690650427918</v>
      </c>
      <c r="L33" s="65" t="n">
        <f aca="false">IF(L8=1,(L16-L46)/L30,"")</f>
        <v>1.40699360230217</v>
      </c>
      <c r="M33" s="65" t="n">
        <f aca="false">IF(M8=1,(M16-M46)/M30,"")</f>
        <v>1.40708119300901</v>
      </c>
      <c r="N33" s="65" t="n">
        <f aca="false">IF(N8=1,(N16-N46)/N30,"")</f>
        <v>1.40716927988244</v>
      </c>
      <c r="O33" s="65" t="n">
        <f aca="false">IF(O8=1,(O16-O46)/O30,"")</f>
        <v>1.40725786643675</v>
      </c>
      <c r="P33" s="65" t="str">
        <f aca="false">IF(P8=1,(P16-P46)/P30,"")</f>
        <v/>
      </c>
      <c r="Q33" s="65" t="str">
        <f aca="false">IF(Q8=1,(Q16-Q46)/Q30,"")</f>
        <v/>
      </c>
      <c r="R33" s="65" t="str">
        <f aca="false">IF(R8=1,(R16-R46)/R30,"")</f>
        <v/>
      </c>
      <c r="S33" s="65" t="str">
        <f aca="false">IF(S8=1,(S16-S46)/S30,"")</f>
        <v/>
      </c>
      <c r="T33" s="65" t="str">
        <f aca="false">IF(T8=1,(T16-T46)/T30,"")</f>
        <v/>
      </c>
      <c r="U33" s="65" t="str">
        <f aca="false">IF(U8=1,(U16-U46)/U30,"")</f>
        <v/>
      </c>
      <c r="V33" s="65" t="str">
        <f aca="false">IF(V8=1,(V16-V46)/V30,"")</f>
        <v/>
      </c>
      <c r="W33" s="65" t="str">
        <f aca="false">IF(W8=1,(W16-W46)/W30,"")</f>
        <v/>
      </c>
      <c r="X33" s="65" t="str">
        <f aca="false">IF(X8=1,(X16-X46)/X30,"")</f>
        <v/>
      </c>
      <c r="Y33" s="65" t="str">
        <f aca="false">IF(Y8=1,(Y16-Y46)/Y30,"")</f>
        <v/>
      </c>
      <c r="Z33" s="65" t="str">
        <f aca="false">IF(Z8=1,(Z16-Z46)/Z30,"")</f>
        <v/>
      </c>
      <c r="AA33" s="65" t="str">
        <f aca="false">IF(AA8=1,(AA16-AA46)/AA30,"")</f>
        <v/>
      </c>
      <c r="AB33" s="65" t="str">
        <f aca="false">IF(AB8=1,(AB16-AB46)/AB30,"")</f>
        <v/>
      </c>
      <c r="AC33" s="65" t="str">
        <f aca="false">IF(AC8=1,(AC16-AC46)/AC30,"")</f>
        <v/>
      </c>
      <c r="AD33" s="65" t="str">
        <f aca="false">IF(AD8=1,(AD16-AD46)/AD30,"")</f>
        <v/>
      </c>
    </row>
    <row r="34" customFormat="false" ht="15" hidden="false" customHeight="true" outlineLevel="0" collapsed="false">
      <c r="B34" s="21" t="s">
        <v>712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row>
    <row r="35" customFormat="false" ht="15" hidden="false" customHeight="true" outlineLevel="0" collapsed="false">
      <c r="B35" s="4" t="s">
        <v>713</v>
      </c>
      <c r="C35" s="3" t="s">
        <v>297</v>
      </c>
      <c r="E35" s="57" t="n">
        <f aca="false">'Sources &amp; Uses'!$D$43</f>
        <v>171.389728179536</v>
      </c>
      <c r="F35" s="57" t="n">
        <f aca="false">E37</f>
        <v>167.533459295496</v>
      </c>
      <c r="G35" s="57" t="n">
        <f aca="false">F37</f>
        <v>152.108383759338</v>
      </c>
      <c r="H35" s="57" t="n">
        <f aca="false">G37</f>
        <v>136.68330822318</v>
      </c>
      <c r="I35" s="57" t="n">
        <f aca="false">H37</f>
        <v>121.258232687022</v>
      </c>
      <c r="J35" s="57" t="n">
        <f aca="false">I37</f>
        <v>105.833157150863</v>
      </c>
      <c r="K35" s="57" t="n">
        <f aca="false">J37</f>
        <v>96.4067221009889</v>
      </c>
      <c r="L35" s="57" t="n">
        <f aca="false">K37</f>
        <v>86.9802870511144</v>
      </c>
      <c r="M35" s="57" t="n">
        <f aca="false">L37</f>
        <v>77.5538520012399</v>
      </c>
      <c r="N35" s="57" t="n">
        <f aca="false">M37</f>
        <v>68.1274169513655</v>
      </c>
      <c r="O35" s="57" t="n">
        <f aca="false">N37</f>
        <v>58.700981901491</v>
      </c>
      <c r="P35" s="57" t="n">
        <f aca="false">O37</f>
        <v>49.2745468516165</v>
      </c>
      <c r="Q35" s="57" t="n">
        <f aca="false">P37</f>
        <v>39.8481118017421</v>
      </c>
      <c r="R35" s="57" t="n">
        <f aca="false">Q37</f>
        <v>30.4216767518676</v>
      </c>
      <c r="S35" s="57" t="n">
        <f aca="false">R37</f>
        <v>20.9952417019931</v>
      </c>
      <c r="T35" s="57" t="n">
        <f aca="false">S37</f>
        <v>11.5688066521186</v>
      </c>
      <c r="U35" s="57" t="n">
        <f aca="false">T37</f>
        <v>2.14237160224417</v>
      </c>
      <c r="V35" s="57" t="n">
        <f aca="false">U37</f>
        <v>0</v>
      </c>
      <c r="W35" s="57" t="n">
        <f aca="false">V37</f>
        <v>0</v>
      </c>
      <c r="X35" s="57" t="n">
        <f aca="false">W37</f>
        <v>0</v>
      </c>
      <c r="Y35" s="57" t="n">
        <f aca="false">X37</f>
        <v>0</v>
      </c>
      <c r="Z35" s="57" t="n">
        <f aca="false">Y37</f>
        <v>0</v>
      </c>
      <c r="AA35" s="57" t="n">
        <f aca="false">Z37</f>
        <v>0</v>
      </c>
      <c r="AB35" s="57" t="n">
        <f aca="false">AA37</f>
        <v>0</v>
      </c>
      <c r="AC35" s="57" t="n">
        <f aca="false">AB37</f>
        <v>0</v>
      </c>
      <c r="AD35" s="57" t="n">
        <f aca="false">AC37</f>
        <v>0</v>
      </c>
    </row>
    <row r="36" customFormat="false" ht="15" hidden="false" customHeight="true" outlineLevel="0" collapsed="false">
      <c r="B36" s="4" t="s">
        <v>714</v>
      </c>
      <c r="C36" s="3" t="s">
        <v>297</v>
      </c>
      <c r="D36" s="59" t="n">
        <f aca="false">SUM(E36:AD36)</f>
        <v>171.389728179536</v>
      </c>
      <c r="E36" s="57" t="n">
        <f aca="false">MIN(E35,'Sources &amp; Uses'!$D$43*IF(E5&lt;=4,Inputs!$D$22,Inputs!$D$23)*E7)</f>
        <v>3.85626888403956</v>
      </c>
      <c r="F36" s="57" t="n">
        <f aca="false">MIN(F35,'Sources &amp; Uses'!$D$43*IF(F5&lt;=4,Inputs!$D$22,Inputs!$D$23)*F7)</f>
        <v>15.4250755361582</v>
      </c>
      <c r="G36" s="57" t="n">
        <f aca="false">MIN(G35,'Sources &amp; Uses'!$D$43*IF(G5&lt;=4,Inputs!$D$22,Inputs!$D$23)*G7)</f>
        <v>15.4250755361582</v>
      </c>
      <c r="H36" s="57" t="n">
        <f aca="false">MIN(H35,'Sources &amp; Uses'!$D$43*IF(H5&lt;=4,Inputs!$D$22,Inputs!$D$23)*H7)</f>
        <v>15.4250755361582</v>
      </c>
      <c r="I36" s="57" t="n">
        <f aca="false">MIN(I35,'Sources &amp; Uses'!$D$43*IF(I5&lt;=4,Inputs!$D$22,Inputs!$D$23)*I7)</f>
        <v>15.4250755361582</v>
      </c>
      <c r="J36" s="57" t="n">
        <f aca="false">MIN(J35,'Sources &amp; Uses'!$D$43*IF(J5&lt;=4,Inputs!$D$22,Inputs!$D$23)*J7)</f>
        <v>9.42643504987447</v>
      </c>
      <c r="K36" s="57" t="n">
        <f aca="false">MIN(K35,'Sources &amp; Uses'!$D$43*IF(K5&lt;=4,Inputs!$D$22,Inputs!$D$23)*K7)</f>
        <v>9.42643504987447</v>
      </c>
      <c r="L36" s="57" t="n">
        <f aca="false">MIN(L35,'Sources &amp; Uses'!$D$43*IF(L5&lt;=4,Inputs!$D$22,Inputs!$D$23)*L7)</f>
        <v>9.42643504987447</v>
      </c>
      <c r="M36" s="57" t="n">
        <f aca="false">MIN(M35,'Sources &amp; Uses'!$D$43*IF(M5&lt;=4,Inputs!$D$22,Inputs!$D$23)*M7)</f>
        <v>9.42643504987447</v>
      </c>
      <c r="N36" s="57" t="n">
        <f aca="false">MIN(N35,'Sources &amp; Uses'!$D$43*IF(N5&lt;=4,Inputs!$D$22,Inputs!$D$23)*N7)</f>
        <v>9.42643504987447</v>
      </c>
      <c r="O36" s="57" t="n">
        <f aca="false">MIN(O35,'Sources &amp; Uses'!$D$43*IF(O5&lt;=4,Inputs!$D$22,Inputs!$D$23)*O7)</f>
        <v>9.42643504987447</v>
      </c>
      <c r="P36" s="57" t="n">
        <f aca="false">MIN(P35,'Sources &amp; Uses'!$D$43*IF(P5&lt;=4,Inputs!$D$22,Inputs!$D$23)*P7)</f>
        <v>9.42643504987447</v>
      </c>
      <c r="Q36" s="57" t="n">
        <f aca="false">MIN(Q35,'Sources &amp; Uses'!$D$43*IF(Q5&lt;=4,Inputs!$D$22,Inputs!$D$23)*Q7)</f>
        <v>9.42643504987447</v>
      </c>
      <c r="R36" s="57" t="n">
        <f aca="false">MIN(R35,'Sources &amp; Uses'!$D$43*IF(R5&lt;=4,Inputs!$D$22,Inputs!$D$23)*R7)</f>
        <v>9.42643504987447</v>
      </c>
      <c r="S36" s="57" t="n">
        <f aca="false">MIN(S35,'Sources &amp; Uses'!$D$43*IF(S5&lt;=4,Inputs!$D$22,Inputs!$D$23)*S7)</f>
        <v>9.42643504987447</v>
      </c>
      <c r="T36" s="57" t="n">
        <f aca="false">MIN(T35,'Sources &amp; Uses'!$D$43*IF(T5&lt;=4,Inputs!$D$22,Inputs!$D$23)*T7)</f>
        <v>9.42643504987447</v>
      </c>
      <c r="U36" s="57" t="n">
        <f aca="false">MIN(U35,'Sources &amp; Uses'!$D$43*IF(U5&lt;=4,Inputs!$D$22,Inputs!$D$23)*U7)</f>
        <v>2.14237160224417</v>
      </c>
      <c r="V36" s="57" t="n">
        <f aca="false">MIN(V35,'Sources &amp; Uses'!$D$43*IF(V5&lt;=4,Inputs!$D$22,Inputs!$D$23)*V7)</f>
        <v>0</v>
      </c>
      <c r="W36" s="57" t="n">
        <f aca="false">MIN(W35,'Sources &amp; Uses'!$D$43*IF(W5&lt;=4,Inputs!$D$22,Inputs!$D$23)*W7)</f>
        <v>0</v>
      </c>
      <c r="X36" s="57" t="n">
        <f aca="false">MIN(X35,'Sources &amp; Uses'!$D$43*IF(X5&lt;=4,Inputs!$D$22,Inputs!$D$23)*X7)</f>
        <v>0</v>
      </c>
      <c r="Y36" s="57" t="n">
        <f aca="false">MIN(Y35,'Sources &amp; Uses'!$D$43*IF(Y5&lt;=4,Inputs!$D$22,Inputs!$D$23)*Y7)</f>
        <v>0</v>
      </c>
      <c r="Z36" s="57" t="n">
        <f aca="false">MIN(Z35,'Sources &amp; Uses'!$D$43*IF(Z5&lt;=4,Inputs!$D$22,Inputs!$D$23)*Z7)</f>
        <v>0</v>
      </c>
      <c r="AA36" s="57" t="n">
        <f aca="false">MIN(AA35,'Sources &amp; Uses'!$D$43*IF(AA5&lt;=4,Inputs!$D$22,Inputs!$D$23)*AA7)</f>
        <v>0</v>
      </c>
      <c r="AB36" s="57" t="n">
        <f aca="false">MIN(AB35,'Sources &amp; Uses'!$D$43*IF(AB5&lt;=4,Inputs!$D$22,Inputs!$D$23)*AB7)</f>
        <v>0</v>
      </c>
      <c r="AC36" s="57" t="n">
        <f aca="false">MIN(AC35,'Sources &amp; Uses'!$D$43*IF(AC5&lt;=4,Inputs!$D$22,Inputs!$D$23)*AC7)</f>
        <v>0</v>
      </c>
      <c r="AD36" s="57" t="n">
        <f aca="false">MIN(AD35,'Sources &amp; Uses'!$D$43*IF(AD5&lt;=4,Inputs!$D$22,Inputs!$D$23)*AD7)</f>
        <v>0</v>
      </c>
    </row>
    <row r="37" customFormat="false" ht="15" hidden="false" customHeight="true" outlineLevel="0" collapsed="false">
      <c r="B37" s="4" t="s">
        <v>715</v>
      </c>
      <c r="C37" s="3" t="s">
        <v>297</v>
      </c>
      <c r="E37" s="57" t="n">
        <f aca="false">E35-E36</f>
        <v>167.533459295496</v>
      </c>
      <c r="F37" s="57" t="n">
        <f aca="false">F35-F36</f>
        <v>152.108383759338</v>
      </c>
      <c r="G37" s="57" t="n">
        <f aca="false">G35-G36</f>
        <v>136.68330822318</v>
      </c>
      <c r="H37" s="57" t="n">
        <f aca="false">H35-H36</f>
        <v>121.258232687022</v>
      </c>
      <c r="I37" s="57" t="n">
        <f aca="false">I35-I36</f>
        <v>105.833157150863</v>
      </c>
      <c r="J37" s="57" t="n">
        <f aca="false">J35-J36</f>
        <v>96.4067221009889</v>
      </c>
      <c r="K37" s="57" t="n">
        <f aca="false">K35-K36</f>
        <v>86.9802870511144</v>
      </c>
      <c r="L37" s="57" t="n">
        <f aca="false">L35-L36</f>
        <v>77.5538520012399</v>
      </c>
      <c r="M37" s="57" t="n">
        <f aca="false">M35-M36</f>
        <v>68.1274169513655</v>
      </c>
      <c r="N37" s="57" t="n">
        <f aca="false">N35-N36</f>
        <v>58.700981901491</v>
      </c>
      <c r="O37" s="57" t="n">
        <f aca="false">O35-O36</f>
        <v>49.2745468516165</v>
      </c>
      <c r="P37" s="57" t="n">
        <f aca="false">P35-P36</f>
        <v>39.8481118017421</v>
      </c>
      <c r="Q37" s="57" t="n">
        <f aca="false">Q35-Q36</f>
        <v>30.4216767518676</v>
      </c>
      <c r="R37" s="57" t="n">
        <f aca="false">R35-R36</f>
        <v>20.9952417019931</v>
      </c>
      <c r="S37" s="57" t="n">
        <f aca="false">S35-S36</f>
        <v>11.5688066521186</v>
      </c>
      <c r="T37" s="57" t="n">
        <f aca="false">T35-T36</f>
        <v>2.14237160224417</v>
      </c>
      <c r="U37" s="57" t="n">
        <f aca="false">U35-U36</f>
        <v>0</v>
      </c>
      <c r="V37" s="57" t="n">
        <f aca="false">V35-V36</f>
        <v>0</v>
      </c>
      <c r="W37" s="57" t="n">
        <f aca="false">W35-W36</f>
        <v>0</v>
      </c>
      <c r="X37" s="57" t="n">
        <f aca="false">X35-X36</f>
        <v>0</v>
      </c>
      <c r="Y37" s="57" t="n">
        <f aca="false">Y35-Y36</f>
        <v>0</v>
      </c>
      <c r="Z37" s="57" t="n">
        <f aca="false">Z35-Z36</f>
        <v>0</v>
      </c>
      <c r="AA37" s="57" t="n">
        <f aca="false">AA35-AA36</f>
        <v>0</v>
      </c>
      <c r="AB37" s="57" t="n">
        <f aca="false">AB35-AB36</f>
        <v>0</v>
      </c>
      <c r="AC37" s="57" t="n">
        <f aca="false">AC35-AC36</f>
        <v>0</v>
      </c>
      <c r="AD37" s="57" t="n">
        <f aca="false">AD35-AD36</f>
        <v>0</v>
      </c>
    </row>
    <row r="38" customFormat="false" ht="15" hidden="false" customHeight="true" outlineLevel="0" collapsed="false">
      <c r="B38" s="4" t="s">
        <v>716</v>
      </c>
      <c r="C38" s="3" t="s">
        <v>297</v>
      </c>
      <c r="E38" s="57" t="n">
        <f aca="false">'Sources &amp; Uses'!$D$43</f>
        <v>171.389728179536</v>
      </c>
      <c r="F38" s="57" t="n">
        <f aca="false">E40+E49</f>
        <v>137.111782543629</v>
      </c>
      <c r="G38" s="57" t="n">
        <f aca="false">F40+F49</f>
        <v>82.2670695261772</v>
      </c>
      <c r="H38" s="57" t="n">
        <f aca="false">G40+G49</f>
        <v>49.3602417157063</v>
      </c>
      <c r="I38" s="57" t="n">
        <f aca="false">H40+H49</f>
        <v>29.6161450294238</v>
      </c>
      <c r="J38" s="57" t="n">
        <f aca="false">I40+I49</f>
        <v>17.7696870176543</v>
      </c>
      <c r="K38" s="57" t="n">
        <f aca="false">J40+J49</f>
        <v>10.6618122105926</v>
      </c>
      <c r="L38" s="57" t="n">
        <f aca="false">K40+K49</f>
        <v>6.39708732635554</v>
      </c>
      <c r="M38" s="57" t="n">
        <f aca="false">L40+L49</f>
        <v>3.83825239581332</v>
      </c>
      <c r="N38" s="57" t="n">
        <f aca="false">M40+M49</f>
        <v>2.30295143748799</v>
      </c>
      <c r="O38" s="57" t="n">
        <f aca="false">N40+N49</f>
        <v>1.3817708624928</v>
      </c>
      <c r="P38" s="57" t="n">
        <f aca="false">O40+O49</f>
        <v>0.829062517495677</v>
      </c>
      <c r="Q38" s="57" t="n">
        <f aca="false">P40+P49</f>
        <v>0.497437510497406</v>
      </c>
      <c r="R38" s="57" t="n">
        <f aca="false">Q40+Q49</f>
        <v>12.0684625062984</v>
      </c>
      <c r="S38" s="57" t="n">
        <f aca="false">R40+R49</f>
        <v>7.24107750377907</v>
      </c>
      <c r="T38" s="57" t="n">
        <f aca="false">S40+S49</f>
        <v>4.34464650226744</v>
      </c>
      <c r="U38" s="57" t="n">
        <f aca="false">T40+T49</f>
        <v>2.60678790136046</v>
      </c>
      <c r="V38" s="57" t="n">
        <f aca="false">U40+U49</f>
        <v>1.56407274081628</v>
      </c>
      <c r="W38" s="57" t="n">
        <f aca="false">V40+V49</f>
        <v>0.938443644489767</v>
      </c>
      <c r="X38" s="57" t="n">
        <f aca="false">W40+W49</f>
        <v>0.56306618669386</v>
      </c>
      <c r="Y38" s="57" t="n">
        <f aca="false">X40+X49</f>
        <v>0.337839712016316</v>
      </c>
      <c r="Z38" s="57" t="n">
        <f aca="false">Y40+Y49</f>
        <v>0.20270382720979</v>
      </c>
      <c r="AA38" s="57" t="n">
        <f aca="false">Z40+Z49</f>
        <v>0.121622296325874</v>
      </c>
      <c r="AB38" s="57" t="n">
        <f aca="false">AA40+AA49</f>
        <v>0.0729733777955243</v>
      </c>
      <c r="AC38" s="57" t="n">
        <f aca="false">AB40+AB49</f>
        <v>0.0437840266773146</v>
      </c>
      <c r="AD38" s="57" t="n">
        <f aca="false">AC40+AC49</f>
        <v>0.0262704160063887</v>
      </c>
    </row>
    <row r="39" customFormat="false" ht="15" hidden="false" customHeight="true" outlineLevel="0" collapsed="false">
      <c r="B39" s="4" t="s">
        <v>717</v>
      </c>
      <c r="C39" s="3" t="s">
        <v>297</v>
      </c>
      <c r="D39" s="59" t="n">
        <f aca="false">SUM(E39:AD39)</f>
        <v>183.143965929932</v>
      </c>
      <c r="E39" s="57" t="n">
        <f aca="false">E38*Inputs!$D$24*IF(Inputs!$D$9&lt;6,0.5,1)*IF(Inputs!$D$9&gt;0,1,0)</f>
        <v>34.2779456359072</v>
      </c>
      <c r="F39" s="57" t="n">
        <f aca="false">F38*Inputs!$D$24*IF(F7&gt;0,1,0)</f>
        <v>54.8447130174515</v>
      </c>
      <c r="G39" s="57" t="n">
        <f aca="false">G38*Inputs!$D$24*IF(G7&gt;0,1,0)</f>
        <v>32.9068278104709</v>
      </c>
      <c r="H39" s="57" t="n">
        <f aca="false">H38*Inputs!$D$24*IF(H7&gt;0,1,0)</f>
        <v>19.7440966862825</v>
      </c>
      <c r="I39" s="57" t="n">
        <f aca="false">I38*Inputs!$D$24*IF(I7&gt;0,1,0)</f>
        <v>11.8464580117695</v>
      </c>
      <c r="J39" s="57" t="n">
        <f aca="false">J38*Inputs!$D$24*IF(J7&gt;0,1,0)</f>
        <v>7.10787480706171</v>
      </c>
      <c r="K39" s="57" t="n">
        <f aca="false">K38*Inputs!$D$24*IF(K7&gt;0,1,0)</f>
        <v>4.26472488423703</v>
      </c>
      <c r="L39" s="57" t="n">
        <f aca="false">L38*Inputs!$D$24*IF(L7&gt;0,1,0)</f>
        <v>2.55883493054222</v>
      </c>
      <c r="M39" s="57" t="n">
        <f aca="false">M38*Inputs!$D$24*IF(M7&gt;0,1,0)</f>
        <v>1.53530095832533</v>
      </c>
      <c r="N39" s="57" t="n">
        <f aca="false">N38*Inputs!$D$24*IF(N7&gt;0,1,0)</f>
        <v>0.921180574995197</v>
      </c>
      <c r="O39" s="57" t="n">
        <f aca="false">O38*Inputs!$D$24*IF(O7&gt;0,1,0)</f>
        <v>0.552708344997118</v>
      </c>
      <c r="P39" s="57" t="n">
        <f aca="false">P38*Inputs!$D$24*IF(P7&gt;0,1,0)</f>
        <v>0.331625006998271</v>
      </c>
      <c r="Q39" s="57" t="n">
        <f aca="false">Q38*Inputs!$D$24*IF(Q7&gt;0,1,0)</f>
        <v>0.198975004198963</v>
      </c>
      <c r="R39" s="57" t="n">
        <f aca="false">R38*Inputs!$D$24*IF(R7&gt;0,1,0)</f>
        <v>4.82738500251938</v>
      </c>
      <c r="S39" s="57" t="n">
        <f aca="false">S38*Inputs!$D$24*IF(S7&gt;0,1,0)</f>
        <v>2.89643100151163</v>
      </c>
      <c r="T39" s="57" t="n">
        <f aca="false">T38*Inputs!$D$24*IF(T7&gt;0,1,0)</f>
        <v>1.73785860090698</v>
      </c>
      <c r="U39" s="57" t="n">
        <f aca="false">U38*Inputs!$D$24*IF(U7&gt;0,1,0)</f>
        <v>1.04271516054419</v>
      </c>
      <c r="V39" s="57" t="n">
        <f aca="false">V38*Inputs!$D$24*IF(V7&gt;0,1,0)</f>
        <v>0.625629096326511</v>
      </c>
      <c r="W39" s="57" t="n">
        <f aca="false">W38*Inputs!$D$24*IF(W7&gt;0,1,0)</f>
        <v>0.375377457795907</v>
      </c>
      <c r="X39" s="57" t="n">
        <f aca="false">X38*Inputs!$D$24*IF(X7&gt;0,1,0)</f>
        <v>0.225226474677544</v>
      </c>
      <c r="Y39" s="57" t="n">
        <f aca="false">Y38*Inputs!$D$24*IF(Y7&gt;0,1,0)</f>
        <v>0.135135884806526</v>
      </c>
      <c r="Z39" s="57" t="n">
        <f aca="false">Z38*Inputs!$D$24*IF(Z7&gt;0,1,0)</f>
        <v>0.0810815308839158</v>
      </c>
      <c r="AA39" s="57" t="n">
        <f aca="false">AA38*Inputs!$D$24*IF(AA7&gt;0,1,0)</f>
        <v>0.0486489185303495</v>
      </c>
      <c r="AB39" s="57" t="n">
        <f aca="false">AB38*Inputs!$D$24*IF(AB7&gt;0,1,0)</f>
        <v>0.0291893511182097</v>
      </c>
      <c r="AC39" s="57" t="n">
        <f aca="false">AC38*Inputs!$D$24*IF(AC7&gt;0,1,0)</f>
        <v>0.0175136106709258</v>
      </c>
      <c r="AD39" s="57" t="n">
        <f aca="false">AD38*Inputs!$D$24*IF(AD7&gt;0,1,0)</f>
        <v>0.0105081664025555</v>
      </c>
    </row>
    <row r="40" customFormat="false" ht="15" hidden="false" customHeight="true" outlineLevel="0" collapsed="false">
      <c r="B40" s="4" t="s">
        <v>718</v>
      </c>
      <c r="C40" s="3" t="s">
        <v>297</v>
      </c>
      <c r="E40" s="57" t="n">
        <f aca="false">E38-E39</f>
        <v>137.111782543629</v>
      </c>
      <c r="F40" s="57" t="n">
        <f aca="false">F38-F39</f>
        <v>82.2670695261772</v>
      </c>
      <c r="G40" s="57" t="n">
        <f aca="false">G38-G39</f>
        <v>49.3602417157063</v>
      </c>
      <c r="H40" s="57" t="n">
        <f aca="false">H38-H39</f>
        <v>29.6161450294238</v>
      </c>
      <c r="I40" s="57" t="n">
        <f aca="false">I38-I39</f>
        <v>17.7696870176543</v>
      </c>
      <c r="J40" s="57" t="n">
        <f aca="false">J38-J39</f>
        <v>10.6618122105926</v>
      </c>
      <c r="K40" s="57" t="n">
        <f aca="false">K38-K39</f>
        <v>6.39708732635554</v>
      </c>
      <c r="L40" s="57" t="n">
        <f aca="false">L38-L39</f>
        <v>3.83825239581332</v>
      </c>
      <c r="M40" s="57" t="n">
        <f aca="false">M38-M39</f>
        <v>2.30295143748799</v>
      </c>
      <c r="N40" s="57" t="n">
        <f aca="false">N38-N39</f>
        <v>1.3817708624928</v>
      </c>
      <c r="O40" s="57" t="n">
        <f aca="false">O38-O39</f>
        <v>0.829062517495677</v>
      </c>
      <c r="P40" s="57" t="n">
        <f aca="false">P38-P39</f>
        <v>0.497437510497406</v>
      </c>
      <c r="Q40" s="57" t="n">
        <f aca="false">Q38-Q39</f>
        <v>0.298462506298444</v>
      </c>
      <c r="R40" s="57" t="n">
        <f aca="false">R38-R39</f>
        <v>7.24107750377907</v>
      </c>
      <c r="S40" s="57" t="n">
        <f aca="false">S38-S39</f>
        <v>4.34464650226744</v>
      </c>
      <c r="T40" s="57" t="n">
        <f aca="false">T38-T39</f>
        <v>2.60678790136046</v>
      </c>
      <c r="U40" s="57" t="n">
        <f aca="false">U38-U39</f>
        <v>1.56407274081628</v>
      </c>
      <c r="V40" s="57" t="n">
        <f aca="false">V38-V39</f>
        <v>0.938443644489767</v>
      </c>
      <c r="W40" s="57" t="n">
        <f aca="false">W38-W39</f>
        <v>0.56306618669386</v>
      </c>
      <c r="X40" s="57" t="n">
        <f aca="false">X38-X39</f>
        <v>0.337839712016316</v>
      </c>
      <c r="Y40" s="57" t="n">
        <f aca="false">Y38-Y39</f>
        <v>0.20270382720979</v>
      </c>
      <c r="Z40" s="57" t="n">
        <f aca="false">Z38-Z39</f>
        <v>0.121622296325874</v>
      </c>
      <c r="AA40" s="57" t="n">
        <f aca="false">AA38-AA39</f>
        <v>0.0729733777955243</v>
      </c>
      <c r="AB40" s="57" t="n">
        <f aca="false">AB38-AB39</f>
        <v>0.0437840266773146</v>
      </c>
      <c r="AC40" s="57" t="n">
        <f aca="false">AC38-AC39</f>
        <v>0.0262704160063887</v>
      </c>
      <c r="AD40" s="57" t="n">
        <f aca="false">AD38-AD39</f>
        <v>0.0157622496038332</v>
      </c>
    </row>
    <row r="41" customFormat="false" ht="15" hidden="false" customHeight="true" outlineLevel="0" collapsed="false">
      <c r="B41" s="4" t="s">
        <v>719</v>
      </c>
      <c r="C41" s="3" t="s">
        <v>297</v>
      </c>
      <c r="D41" s="59" t="n">
        <f aca="false">SUM(E41:AD41)</f>
        <v>0</v>
      </c>
      <c r="E41" s="57" t="n">
        <f aca="false">IF(Inputs!$D$41=2,Inputs!$D$42*Inputs!$D$40/12*F30,0)</f>
        <v>0</v>
      </c>
      <c r="F41" s="57" t="n">
        <f aca="false">IF(Inputs!$D$41=2,Inputs!$D$42*Inputs!$D$40/12*G30,0)</f>
        <v>0</v>
      </c>
      <c r="G41" s="57" t="n">
        <f aca="false">IF(Inputs!$D$41=2,Inputs!$D$42*Inputs!$D$40/12*H30,0)</f>
        <v>0</v>
      </c>
      <c r="H41" s="57" t="n">
        <f aca="false">IF(Inputs!$D$41=2,Inputs!$D$42*Inputs!$D$40/12*I30,0)</f>
        <v>0</v>
      </c>
      <c r="I41" s="57" t="n">
        <f aca="false">IF(Inputs!$D$41=2,Inputs!$D$42*Inputs!$D$40/12*J30,0)</f>
        <v>0</v>
      </c>
      <c r="J41" s="57" t="n">
        <f aca="false">IF(Inputs!$D$41=2,Inputs!$D$42*Inputs!$D$40/12*K30,0)</f>
        <v>0</v>
      </c>
      <c r="K41" s="57" t="n">
        <f aca="false">IF(Inputs!$D$41=2,Inputs!$D$42*Inputs!$D$40/12*L30,0)</f>
        <v>0</v>
      </c>
      <c r="L41" s="57" t="n">
        <f aca="false">IF(Inputs!$D$41=2,Inputs!$D$42*Inputs!$D$40/12*M30,0)</f>
        <v>0</v>
      </c>
      <c r="M41" s="57" t="n">
        <f aca="false">IF(Inputs!$D$41=2,Inputs!$D$42*Inputs!$D$40/12*N30,0)</f>
        <v>0</v>
      </c>
      <c r="N41" s="57" t="n">
        <f aca="false">IF(Inputs!$D$41=2,Inputs!$D$42*Inputs!$D$40/12*O30,0)</f>
        <v>0</v>
      </c>
      <c r="O41" s="57" t="n">
        <f aca="false">IF(Inputs!$D$41=2,Inputs!$D$42*Inputs!$D$40/12*P30,0)</f>
        <v>0</v>
      </c>
      <c r="P41" s="57" t="n">
        <f aca="false">IF(Inputs!$D$41=2,Inputs!$D$42*Inputs!$D$40/12*Q30,0)</f>
        <v>0</v>
      </c>
      <c r="Q41" s="57" t="n">
        <f aca="false">IF(Inputs!$D$41=2,Inputs!$D$42*Inputs!$D$40/12*R30,0)</f>
        <v>0</v>
      </c>
      <c r="R41" s="57" t="n">
        <f aca="false">IF(Inputs!$D$41=2,Inputs!$D$42*Inputs!$D$40/12*S30,0)</f>
        <v>0</v>
      </c>
      <c r="S41" s="57" t="n">
        <f aca="false">IF(Inputs!$D$41=2,Inputs!$D$42*Inputs!$D$40/12*T30,0)</f>
        <v>0</v>
      </c>
      <c r="T41" s="57" t="n">
        <f aca="false">IF(Inputs!$D$41=2,Inputs!$D$42*Inputs!$D$40/12*U30,0)</f>
        <v>0</v>
      </c>
      <c r="U41" s="57" t="n">
        <f aca="false">IF(Inputs!$D$41=2,Inputs!$D$42*Inputs!$D$40/12*V30,0)</f>
        <v>0</v>
      </c>
      <c r="V41" s="57" t="n">
        <f aca="false">IF(Inputs!$D$41=2,Inputs!$D$42*Inputs!$D$40/12*W30,0)</f>
        <v>0</v>
      </c>
      <c r="W41" s="57" t="n">
        <f aca="false">IF(Inputs!$D$41=2,Inputs!$D$42*Inputs!$D$40/12*X30,0)</f>
        <v>0</v>
      </c>
      <c r="X41" s="57" t="n">
        <f aca="false">IF(Inputs!$D$41=2,Inputs!$D$42*Inputs!$D$40/12*Y30,0)</f>
        <v>0</v>
      </c>
      <c r="Y41" s="57" t="n">
        <f aca="false">IF(Inputs!$D$41=2,Inputs!$D$42*Inputs!$D$40/12*Z30,0)</f>
        <v>0</v>
      </c>
      <c r="Z41" s="57" t="n">
        <f aca="false">IF(Inputs!$D$41=2,Inputs!$D$42*Inputs!$D$40/12*AA30,0)</f>
        <v>0</v>
      </c>
      <c r="AA41" s="57" t="n">
        <f aca="false">IF(Inputs!$D$41=2,Inputs!$D$42*Inputs!$D$40/12*AB30,0)</f>
        <v>0</v>
      </c>
      <c r="AB41" s="57" t="n">
        <f aca="false">IF(Inputs!$D$41=2,Inputs!$D$42*Inputs!$D$40/12*AC30,0)</f>
        <v>0</v>
      </c>
      <c r="AC41" s="57" t="n">
        <f aca="false">IF(Inputs!$D$41=2,Inputs!$D$42*Inputs!$D$40/12*AD30,0)</f>
        <v>0</v>
      </c>
      <c r="AD41" s="57" t="n">
        <v>0</v>
      </c>
    </row>
    <row r="42" customFormat="false" ht="15" hidden="false" customHeight="true" outlineLevel="0" collapsed="false">
      <c r="B42" s="4" t="s">
        <v>720</v>
      </c>
      <c r="C42" s="3" t="s">
        <v>297</v>
      </c>
      <c r="E42" s="57" t="n">
        <f aca="false">E16-E39-E27-E64-E41</f>
        <v>-34.0751973175221</v>
      </c>
      <c r="F42" s="57" t="n">
        <f aca="false">F16-F39-F27-F64-F41</f>
        <v>-46.7590900077055</v>
      </c>
      <c r="G42" s="57" t="n">
        <f aca="false">G16-G39-G27-G64-G41</f>
        <v>-24.7291547716396</v>
      </c>
      <c r="H42" s="57" t="n">
        <f aca="false">H16-H39-H27-H64-H41</f>
        <v>-10.8979610832299</v>
      </c>
      <c r="I42" s="57" t="n">
        <f aca="false">I16-I39-I27-I64-I41</f>
        <v>-2.25766089097326</v>
      </c>
      <c r="J42" s="57" t="n">
        <f aca="false">J16-J39-J27-J64-J41</f>
        <v>3.30555763358318</v>
      </c>
      <c r="K42" s="57" t="n">
        <f aca="false">K16-K39-K27-K64-K41</f>
        <v>7.06390795021156</v>
      </c>
      <c r="L42" s="57" t="n">
        <f aca="false">L16-L39-L27-L64-L41</f>
        <v>9.78505679096893</v>
      </c>
      <c r="M42" s="57" t="n">
        <f aca="false">M16-M39-M27-M64-M41</f>
        <v>11.9343984354918</v>
      </c>
      <c r="N42" s="57" t="n">
        <f aca="false">N16-N39-N27-N64-N41</f>
        <v>13.7964671124134</v>
      </c>
      <c r="O42" s="57" t="n">
        <f aca="false">O16-O39-O27-O64-O41</f>
        <v>15.5478372992608</v>
      </c>
      <c r="P42" s="57" t="n">
        <f aca="false">P16-P39-P27-P64-P41</f>
        <v>23.9627087905788</v>
      </c>
      <c r="Q42" s="57" t="n">
        <f aca="false">Q16-Q39-Q27-Q64-Q41</f>
        <v>23.9795414581878</v>
      </c>
      <c r="R42" s="57" t="n">
        <f aca="false">R16-R39-R27-R64-R41</f>
        <v>19.2357773940179</v>
      </c>
      <c r="S42" s="57" t="n">
        <f aca="false">S16-S39-S27-S64-S41</f>
        <v>21.0518387454395</v>
      </c>
      <c r="T42" s="57" t="n">
        <f aca="false">T16-T39-T27-T64-T41</f>
        <v>22.0959780670563</v>
      </c>
      <c r="U42" s="57" t="n">
        <f aca="false">U16-U39-U27-U64-U41</f>
        <v>22.6771461607473</v>
      </c>
      <c r="V42" s="57" t="n">
        <f aca="false">V16-V39-V27-V64-V41</f>
        <v>22.9807127796798</v>
      </c>
      <c r="W42" s="57" t="n">
        <f aca="false">W16-W39-W27-W64-W41</f>
        <v>23.1178990507063</v>
      </c>
      <c r="X42" s="57" t="n">
        <f aca="false">X16-X39-X27-X64-X41</f>
        <v>23.1554369277907</v>
      </c>
      <c r="Y42" s="57" t="n">
        <f aca="false">Y16-Y39-Y27-Y64-Y41</f>
        <v>23.1333648640518</v>
      </c>
      <c r="Z42" s="57" t="n">
        <f aca="false">Z16-Z39-Z27-Z64-Z41</f>
        <v>23.075705214979</v>
      </c>
      <c r="AA42" s="57" t="n">
        <f aca="false">AA16-AA39-AA27-AA64-AA41</f>
        <v>22.9968706803491</v>
      </c>
      <c r="AB42" s="57" t="n">
        <f aca="false">AB16-AB39-AB27-AB64-AB41</f>
        <v>22.9055081693657</v>
      </c>
      <c r="AC42" s="57" t="n">
        <f aca="false">AC16-AC39-AC27-AC64-AC41</f>
        <v>22.8068051197311</v>
      </c>
      <c r="AD42" s="57" t="n">
        <f aca="false">AD16-AD39-AD27-AD64-AD41</f>
        <v>17.0252779252078</v>
      </c>
    </row>
    <row r="43" customFormat="false" ht="15" hidden="false" customHeight="true" outlineLevel="0" collapsed="false">
      <c r="B43" s="4" t="s">
        <v>721</v>
      </c>
      <c r="C43" s="3" t="s">
        <v>297</v>
      </c>
      <c r="E43" s="57" t="n">
        <v>0</v>
      </c>
      <c r="F43" s="57" t="n">
        <f aca="false">E45</f>
        <v>34.0751973175221</v>
      </c>
      <c r="G43" s="57" t="n">
        <f aca="false">F45</f>
        <v>80.8342873252275</v>
      </c>
      <c r="H43" s="57" t="n">
        <f aca="false">G45</f>
        <v>105.563442096867</v>
      </c>
      <c r="I43" s="57" t="n">
        <f aca="false">H45</f>
        <v>116.461403180097</v>
      </c>
      <c r="J43" s="57" t="n">
        <f aca="false">I45</f>
        <v>118.71906407107</v>
      </c>
      <c r="K43" s="57" t="n">
        <f aca="false">J45</f>
        <v>115.413506437487</v>
      </c>
      <c r="L43" s="57" t="n">
        <f aca="false">K45</f>
        <v>108.349598487276</v>
      </c>
      <c r="M43" s="57" t="n">
        <f aca="false">L45</f>
        <v>98.5645416963066</v>
      </c>
      <c r="N43" s="57" t="n">
        <f aca="false">M45</f>
        <v>86.6301432608149</v>
      </c>
      <c r="O43" s="57" t="n">
        <f aca="false">N45</f>
        <v>72.8336761484014</v>
      </c>
      <c r="P43" s="57" t="n">
        <f aca="false">O45</f>
        <v>57.2858388491407</v>
      </c>
      <c r="Q43" s="57" t="n">
        <f aca="false">P45</f>
        <v>33.3231300585618</v>
      </c>
      <c r="R43" s="57" t="n">
        <f aca="false">Q45</f>
        <v>9.34358860037401</v>
      </c>
      <c r="S43" s="57" t="n">
        <f aca="false">R45</f>
        <v>0</v>
      </c>
      <c r="T43" s="57" t="n">
        <f aca="false">S45</f>
        <v>0</v>
      </c>
      <c r="U43" s="57" t="n">
        <f aca="false">T45</f>
        <v>0</v>
      </c>
      <c r="V43" s="57" t="n">
        <f aca="false">U45</f>
        <v>0</v>
      </c>
      <c r="W43" s="57" t="n">
        <f aca="false">V45</f>
        <v>0</v>
      </c>
      <c r="X43" s="57" t="n">
        <f aca="false">W45</f>
        <v>0</v>
      </c>
      <c r="Y43" s="57" t="n">
        <f aca="false">X45</f>
        <v>0</v>
      </c>
      <c r="Z43" s="57" t="n">
        <f aca="false">Y45</f>
        <v>0</v>
      </c>
      <c r="AA43" s="57" t="n">
        <f aca="false">Z45</f>
        <v>0</v>
      </c>
      <c r="AB43" s="57" t="n">
        <f aca="false">AA45</f>
        <v>0</v>
      </c>
      <c r="AC43" s="57" t="n">
        <f aca="false">AB45</f>
        <v>0</v>
      </c>
      <c r="AD43" s="57" t="n">
        <f aca="false">AC45</f>
        <v>0</v>
      </c>
    </row>
    <row r="44" customFormat="false" ht="15" hidden="false" customHeight="true" outlineLevel="0" collapsed="false">
      <c r="B44" s="4" t="s">
        <v>722</v>
      </c>
      <c r="C44" s="3" t="s">
        <v>297</v>
      </c>
      <c r="E44" s="57" t="n">
        <f aca="false">IF(E42&gt;0,MIN(E43,E42),0)</f>
        <v>0</v>
      </c>
      <c r="F44" s="57" t="n">
        <f aca="false">IF(F42&gt;0,MIN(F43,F42),0)</f>
        <v>0</v>
      </c>
      <c r="G44" s="57" t="n">
        <f aca="false">IF(G42&gt;0,MIN(G43,G42),0)</f>
        <v>0</v>
      </c>
      <c r="H44" s="57" t="n">
        <f aca="false">IF(H42&gt;0,MIN(H43,H42),0)</f>
        <v>0</v>
      </c>
      <c r="I44" s="57" t="n">
        <f aca="false">IF(I42&gt;0,MIN(I43,I42),0)</f>
        <v>0</v>
      </c>
      <c r="J44" s="57" t="n">
        <f aca="false">IF(J42&gt;0,MIN(J43,J42),0)</f>
        <v>3.30555763358318</v>
      </c>
      <c r="K44" s="57" t="n">
        <f aca="false">IF(K42&gt;0,MIN(K43,K42),0)</f>
        <v>7.06390795021156</v>
      </c>
      <c r="L44" s="57" t="n">
        <f aca="false">IF(L42&gt;0,MIN(L43,L42),0)</f>
        <v>9.78505679096893</v>
      </c>
      <c r="M44" s="57" t="n">
        <f aca="false">IF(M42&gt;0,MIN(M43,M42),0)</f>
        <v>11.9343984354918</v>
      </c>
      <c r="N44" s="57" t="n">
        <f aca="false">IF(N42&gt;0,MIN(N43,N42),0)</f>
        <v>13.7964671124134</v>
      </c>
      <c r="O44" s="57" t="n">
        <f aca="false">IF(O42&gt;0,MIN(O43,O42),0)</f>
        <v>15.5478372992608</v>
      </c>
      <c r="P44" s="57" t="n">
        <f aca="false">IF(P42&gt;0,MIN(P43,P42),0)</f>
        <v>23.9627087905788</v>
      </c>
      <c r="Q44" s="57" t="n">
        <f aca="false">IF(Q42&gt;0,MIN(Q43,Q42),0)</f>
        <v>23.9795414581878</v>
      </c>
      <c r="R44" s="57" t="n">
        <f aca="false">IF(R42&gt;0,MIN(R43,R42),0)</f>
        <v>9.34358860037401</v>
      </c>
      <c r="S44" s="57" t="n">
        <f aca="false">IF(S42&gt;0,MIN(S43,S42),0)</f>
        <v>0</v>
      </c>
      <c r="T44" s="57" t="n">
        <f aca="false">IF(T42&gt;0,MIN(T43,T42),0)</f>
        <v>0</v>
      </c>
      <c r="U44" s="57" t="n">
        <f aca="false">IF(U42&gt;0,MIN(U43,U42),0)</f>
        <v>0</v>
      </c>
      <c r="V44" s="57" t="n">
        <f aca="false">IF(V42&gt;0,MIN(V43,V42),0)</f>
        <v>0</v>
      </c>
      <c r="W44" s="57" t="n">
        <f aca="false">IF(W42&gt;0,MIN(W43,W42),0)</f>
        <v>0</v>
      </c>
      <c r="X44" s="57" t="n">
        <f aca="false">IF(X42&gt;0,MIN(X43,X42),0)</f>
        <v>0</v>
      </c>
      <c r="Y44" s="57" t="n">
        <f aca="false">IF(Y42&gt;0,MIN(Y43,Y42),0)</f>
        <v>0</v>
      </c>
      <c r="Z44" s="57" t="n">
        <f aca="false">IF(Z42&gt;0,MIN(Z43,Z42),0)</f>
        <v>0</v>
      </c>
      <c r="AA44" s="57" t="n">
        <f aca="false">IF(AA42&gt;0,MIN(AA43,AA42),0)</f>
        <v>0</v>
      </c>
      <c r="AB44" s="57" t="n">
        <f aca="false">IF(AB42&gt;0,MIN(AB43,AB42),0)</f>
        <v>0</v>
      </c>
      <c r="AC44" s="57" t="n">
        <f aca="false">IF(AC42&gt;0,MIN(AC43,AC42),0)</f>
        <v>0</v>
      </c>
      <c r="AD44" s="57" t="n">
        <f aca="false">IF(AD42&gt;0,MIN(AD43,AD42),0)</f>
        <v>0</v>
      </c>
    </row>
    <row r="45" customFormat="false" ht="15" hidden="false" customHeight="true" outlineLevel="0" collapsed="false">
      <c r="B45" s="4" t="s">
        <v>723</v>
      </c>
      <c r="C45" s="3" t="s">
        <v>297</v>
      </c>
      <c r="E45" s="57" t="n">
        <f aca="false">E43-E44+MAX(0,-E42)</f>
        <v>34.0751973175221</v>
      </c>
      <c r="F45" s="57" t="n">
        <f aca="false">F43-F44+MAX(0,-F42)</f>
        <v>80.8342873252275</v>
      </c>
      <c r="G45" s="57" t="n">
        <f aca="false">G43-G44+MAX(0,-G42)</f>
        <v>105.563442096867</v>
      </c>
      <c r="H45" s="57" t="n">
        <f aca="false">H43-H44+MAX(0,-H42)</f>
        <v>116.461403180097</v>
      </c>
      <c r="I45" s="57" t="n">
        <f aca="false">I43-I44+MAX(0,-I42)</f>
        <v>118.71906407107</v>
      </c>
      <c r="J45" s="57" t="n">
        <f aca="false">J43-J44+MAX(0,-J42)</f>
        <v>115.413506437487</v>
      </c>
      <c r="K45" s="57" t="n">
        <f aca="false">K43-K44+MAX(0,-K42)</f>
        <v>108.349598487276</v>
      </c>
      <c r="L45" s="57" t="n">
        <f aca="false">L43-L44+MAX(0,-L42)</f>
        <v>98.5645416963066</v>
      </c>
      <c r="M45" s="57" t="n">
        <f aca="false">M43-M44+MAX(0,-M42)</f>
        <v>86.6301432608149</v>
      </c>
      <c r="N45" s="57" t="n">
        <f aca="false">N43-N44+MAX(0,-N42)</f>
        <v>72.8336761484014</v>
      </c>
      <c r="O45" s="57" t="n">
        <f aca="false">O43-O44+MAX(0,-O42)</f>
        <v>57.2858388491407</v>
      </c>
      <c r="P45" s="57" t="n">
        <f aca="false">P43-P44+MAX(0,-P42)</f>
        <v>33.3231300585618</v>
      </c>
      <c r="Q45" s="57" t="n">
        <f aca="false">Q43-Q44+MAX(0,-Q42)</f>
        <v>9.34358860037401</v>
      </c>
      <c r="R45" s="57" t="n">
        <f aca="false">R43-R44+MAX(0,-R42)</f>
        <v>0</v>
      </c>
      <c r="S45" s="57" t="n">
        <f aca="false">S43-S44+MAX(0,-S42)</f>
        <v>0</v>
      </c>
      <c r="T45" s="57" t="n">
        <f aca="false">T43-T44+MAX(0,-T42)</f>
        <v>0</v>
      </c>
      <c r="U45" s="57" t="n">
        <f aca="false">U43-U44+MAX(0,-U42)</f>
        <v>0</v>
      </c>
      <c r="V45" s="57" t="n">
        <f aca="false">V43-V44+MAX(0,-V42)</f>
        <v>0</v>
      </c>
      <c r="W45" s="57" t="n">
        <f aca="false">W43-W44+MAX(0,-W42)</f>
        <v>0</v>
      </c>
      <c r="X45" s="57" t="n">
        <f aca="false">X43-X44+MAX(0,-X42)</f>
        <v>0</v>
      </c>
      <c r="Y45" s="57" t="n">
        <f aca="false">Y43-Y44+MAX(0,-Y42)</f>
        <v>0</v>
      </c>
      <c r="Z45" s="57" t="n">
        <f aca="false">Z43-Z44+MAX(0,-Z42)</f>
        <v>0</v>
      </c>
      <c r="AA45" s="57" t="n">
        <f aca="false">AA43-AA44+MAX(0,-AA42)</f>
        <v>0</v>
      </c>
      <c r="AB45" s="57" t="n">
        <f aca="false">AB43-AB44+MAX(0,-AB42)</f>
        <v>0</v>
      </c>
      <c r="AC45" s="57" t="n">
        <f aca="false">AC43-AC44+MAX(0,-AC42)</f>
        <v>0</v>
      </c>
      <c r="AD45" s="57" t="n">
        <f aca="false">AD43-AD44+MAX(0,-AD42)</f>
        <v>0</v>
      </c>
    </row>
    <row r="46" customFormat="false" ht="15" hidden="false" customHeight="true" outlineLevel="0" collapsed="false">
      <c r="B46" s="4" t="s">
        <v>724</v>
      </c>
      <c r="C46" s="3" t="s">
        <v>297</v>
      </c>
      <c r="D46" s="59" t="n">
        <f aca="false">SUM(E46:AD46)</f>
        <v>69.693899875285</v>
      </c>
      <c r="E46" s="57" t="n">
        <f aca="false">MAX(0,E42-E44)*Inputs!$D$25</f>
        <v>0</v>
      </c>
      <c r="F46" s="57" t="n">
        <f aca="false">MAX(0,F42-F44)*Inputs!$D$25</f>
        <v>0</v>
      </c>
      <c r="G46" s="57" t="n">
        <f aca="false">MAX(0,G42-G44)*Inputs!$D$25</f>
        <v>0</v>
      </c>
      <c r="H46" s="57" t="n">
        <f aca="false">MAX(0,H42-H44)*Inputs!$D$25</f>
        <v>0</v>
      </c>
      <c r="I46" s="57" t="n">
        <f aca="false">MAX(0,I42-I44)*Inputs!$D$25</f>
        <v>0</v>
      </c>
      <c r="J46" s="57" t="n">
        <f aca="false">MAX(0,J42-J44)*Inputs!$D$25</f>
        <v>0</v>
      </c>
      <c r="K46" s="57" t="n">
        <f aca="false">MAX(0,K42-K44)*Inputs!$D$25</f>
        <v>0</v>
      </c>
      <c r="L46" s="57" t="n">
        <f aca="false">MAX(0,L42-L44)*Inputs!$D$25</f>
        <v>0</v>
      </c>
      <c r="M46" s="57" t="n">
        <f aca="false">MAX(0,M42-M44)*Inputs!$D$25</f>
        <v>0</v>
      </c>
      <c r="N46" s="57" t="n">
        <f aca="false">MAX(0,N42-N44)*Inputs!$D$25</f>
        <v>0</v>
      </c>
      <c r="O46" s="57" t="n">
        <f aca="false">MAX(0,O42-O44)*Inputs!$D$25</f>
        <v>0</v>
      </c>
      <c r="P46" s="57" t="n">
        <f aca="false">MAX(0,P42-P44)*Inputs!$D$25</f>
        <v>0</v>
      </c>
      <c r="Q46" s="57" t="n">
        <f aca="false">MAX(0,Q42-Q44)*Inputs!$D$25</f>
        <v>0</v>
      </c>
      <c r="R46" s="57" t="n">
        <f aca="false">MAX(0,R42-R44)*Inputs!$D$25</f>
        <v>2.48966607558428</v>
      </c>
      <c r="S46" s="57" t="n">
        <f aca="false">MAX(0,S42-S44)*Inputs!$D$25</f>
        <v>5.29832677545221</v>
      </c>
      <c r="T46" s="57" t="n">
        <f aca="false">MAX(0,T42-T44)*Inputs!$D$25</f>
        <v>5.56111575991673</v>
      </c>
      <c r="U46" s="57" t="n">
        <f aca="false">MAX(0,U42-U44)*Inputs!$D$25</f>
        <v>5.70738414573687</v>
      </c>
      <c r="V46" s="57" t="n">
        <f aca="false">MAX(0,V42-V44)*Inputs!$D$25</f>
        <v>5.7837857923898</v>
      </c>
      <c r="W46" s="57" t="n">
        <f aca="false">MAX(0,W42-W44)*Inputs!$D$25</f>
        <v>5.81831283308177</v>
      </c>
      <c r="X46" s="57" t="n">
        <f aca="false">MAX(0,X42-X44)*Inputs!$D$25</f>
        <v>5.82776036598636</v>
      </c>
      <c r="Y46" s="57" t="n">
        <f aca="false">MAX(0,Y42-Y44)*Inputs!$D$25</f>
        <v>5.82220526898457</v>
      </c>
      <c r="Z46" s="57" t="n">
        <f aca="false">MAX(0,Z42-Z44)*Inputs!$D$25</f>
        <v>5.80769348850592</v>
      </c>
      <c r="AA46" s="57" t="n">
        <f aca="false">MAX(0,AA42-AA44)*Inputs!$D$25</f>
        <v>5.78785241283027</v>
      </c>
      <c r="AB46" s="57" t="n">
        <f aca="false">MAX(0,AB42-AB44)*Inputs!$D$25</f>
        <v>5.76485829606597</v>
      </c>
      <c r="AC46" s="57" t="n">
        <f aca="false">MAX(0,AC42-AC44)*Inputs!$D$25</f>
        <v>5.74001671253392</v>
      </c>
      <c r="AD46" s="57" t="n">
        <f aca="false">MAX(0,AD42-AD44)*Inputs!$D$25</f>
        <v>4.28492194821629</v>
      </c>
    </row>
    <row r="47" customFormat="false" ht="15" hidden="false" customHeight="true" outlineLevel="0" collapsed="false">
      <c r="B47" s="4" t="s">
        <v>725</v>
      </c>
      <c r="C47" s="3" t="s">
        <v>297</v>
      </c>
      <c r="D47" s="59" t="n">
        <f aca="false">SUM(E47:AD47)</f>
        <v>207.205070373859</v>
      </c>
      <c r="E47" s="57" t="n">
        <f aca="false">E16-E36-E27-E64-E41-E46-E49</f>
        <v>-3.65352056565445</v>
      </c>
      <c r="F47" s="57" t="n">
        <f aca="false">F16-F36-F27-F64-F41-F46-F49</f>
        <v>-7.33945252641224</v>
      </c>
      <c r="G47" s="57" t="n">
        <f aca="false">G16-G36-G27-G64-G41-G46-G49</f>
        <v>-7.24740249732695</v>
      </c>
      <c r="H47" s="57" t="n">
        <f aca="false">H16-H36-H27-H64-H41-H46-H49</f>
        <v>-6.5789399331056</v>
      </c>
      <c r="I47" s="57" t="n">
        <f aca="false">I16-I36-I27-I64-I41-I46-I49</f>
        <v>-5.83627841536197</v>
      </c>
      <c r="J47" s="57" t="n">
        <f aca="false">J16-J36-J27-J64-J41-J46-J49</f>
        <v>0.986997390770417</v>
      </c>
      <c r="K47" s="57" t="n">
        <f aca="false">K16-K36-K27-K64-K41-K46-K49</f>
        <v>1.90219778457411</v>
      </c>
      <c r="L47" s="57" t="n">
        <f aca="false">L16-L36-L27-L64-L41-L46-L49</f>
        <v>2.91745667163667</v>
      </c>
      <c r="M47" s="57" t="n">
        <f aca="false">M16-M36-M27-M64-M41-M46-M49</f>
        <v>4.04326434394263</v>
      </c>
      <c r="N47" s="57" t="n">
        <f aca="false">N16-N36-N27-N64-N41-N46-N49</f>
        <v>5.29121263753415</v>
      </c>
      <c r="O47" s="57" t="n">
        <f aca="false">O16-O36-O27-O64-O41-O46-O49</f>
        <v>6.67411059438342</v>
      </c>
      <c r="P47" s="57" t="n">
        <f aca="false">P16-P36-P27-P64-P41-P46-P49</f>
        <v>14.8678987477026</v>
      </c>
      <c r="Q47" s="57" t="n">
        <f aca="false">Q16-Q36-Q27-Q64-Q41-Q46-Q49</f>
        <v>2.98208141251232</v>
      </c>
      <c r="R47" s="57" t="n">
        <f aca="false">R16-R36-R27-R64-R41-R46-R49</f>
        <v>12.1470612710785</v>
      </c>
      <c r="S47" s="57" t="n">
        <f aca="false">S16-S36-S27-S64-S41-S46-S49</f>
        <v>9.22350792162442</v>
      </c>
      <c r="T47" s="57" t="n">
        <f aca="false">T16-T36-T27-T64-T41-T46-T49</f>
        <v>8.84628585817208</v>
      </c>
      <c r="U47" s="57" t="n">
        <f aca="false">U16-U36-U27-U64-U41-U46-U49</f>
        <v>15.8701055733104</v>
      </c>
      <c r="V47" s="57" t="n">
        <f aca="false">V16-V36-V27-V64-V41-V46-V49</f>
        <v>17.8225560836165</v>
      </c>
      <c r="W47" s="57" t="n">
        <f aca="false">W16-W36-W27-W64-W41-W46-W49</f>
        <v>17.6749636754205</v>
      </c>
      <c r="X47" s="57" t="n">
        <f aca="false">X16-X36-X27-X64-X41-X46-X49</f>
        <v>17.5529030364819</v>
      </c>
      <c r="Y47" s="57" t="n">
        <f aca="false">Y16-Y36-Y27-Y64-Y41-Y46-Y49</f>
        <v>17.4462954798738</v>
      </c>
      <c r="Z47" s="57" t="n">
        <f aca="false">Z16-Z36-Z27-Z64-Z41-Z46-Z49</f>
        <v>17.349093257357</v>
      </c>
      <c r="AA47" s="57" t="n">
        <f aca="false">AA16-AA36-AA27-AA64-AA41-AA46-AA49</f>
        <v>17.2576671860492</v>
      </c>
      <c r="AB47" s="57" t="n">
        <f aca="false">AB16-AB36-AB27-AB64-AB41-AB46-AB49</f>
        <v>17.169839224418</v>
      </c>
      <c r="AC47" s="57" t="n">
        <f aca="false">AC16-AC36-AC27-AC64-AC41-AC46-AC49</f>
        <v>17.0843020178681</v>
      </c>
      <c r="AD47" s="57" t="n">
        <f aca="false">AD16-AD36-AD27-AD64-AD41-AD46-AD49</f>
        <v>12.750864143394</v>
      </c>
    </row>
    <row r="48" customFormat="false" ht="15" hidden="false" customHeight="true" outlineLevel="0" collapsed="false">
      <c r="B48" s="21" t="s">
        <v>726</v>
      </c>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row>
    <row r="49" customFormat="false" ht="15" hidden="false" customHeight="true" outlineLevel="0" collapsed="false">
      <c r="B49" s="4" t="s">
        <v>208</v>
      </c>
      <c r="C49" s="3" t="s">
        <v>297</v>
      </c>
      <c r="D49" s="59" t="n">
        <f aca="false">SUM(E49:AD49)</f>
        <v>11.77</v>
      </c>
      <c r="E49" s="57" t="n">
        <f aca="false">IF(E5=Inputs!$D$21,Inputs!$D$6*Inputs!$D$20/10000,0)</f>
        <v>0</v>
      </c>
      <c r="F49" s="57" t="n">
        <f aca="false">IF(F5=Inputs!$D$21,Inputs!$D$6*Inputs!$D$20/10000,0)</f>
        <v>0</v>
      </c>
      <c r="G49" s="57" t="n">
        <f aca="false">IF(G5=Inputs!$D$21,Inputs!$D$6*Inputs!$D$20/10000,0)</f>
        <v>0</v>
      </c>
      <c r="H49" s="57" t="n">
        <f aca="false">IF(H5=Inputs!$D$21,Inputs!$D$6*Inputs!$D$20/10000,0)</f>
        <v>0</v>
      </c>
      <c r="I49" s="57" t="n">
        <f aca="false">IF(I5=Inputs!$D$21,Inputs!$D$6*Inputs!$D$20/10000,0)</f>
        <v>0</v>
      </c>
      <c r="J49" s="57" t="n">
        <f aca="false">IF(J5=Inputs!$D$21,Inputs!$D$6*Inputs!$D$20/10000,0)</f>
        <v>0</v>
      </c>
      <c r="K49" s="57" t="n">
        <f aca="false">IF(K5=Inputs!$D$21,Inputs!$D$6*Inputs!$D$20/10000,0)</f>
        <v>0</v>
      </c>
      <c r="L49" s="57" t="n">
        <f aca="false">IF(L5=Inputs!$D$21,Inputs!$D$6*Inputs!$D$20/10000,0)</f>
        <v>0</v>
      </c>
      <c r="M49" s="57" t="n">
        <f aca="false">IF(M5=Inputs!$D$21,Inputs!$D$6*Inputs!$D$20/10000,0)</f>
        <v>0</v>
      </c>
      <c r="N49" s="57" t="n">
        <f aca="false">IF(N5=Inputs!$D$21,Inputs!$D$6*Inputs!$D$20/10000,0)</f>
        <v>0</v>
      </c>
      <c r="O49" s="57" t="n">
        <f aca="false">IF(O5=Inputs!$D$21,Inputs!$D$6*Inputs!$D$20/10000,0)</f>
        <v>0</v>
      </c>
      <c r="P49" s="57" t="n">
        <f aca="false">IF(P5=Inputs!$D$21,Inputs!$D$6*Inputs!$D$20/10000,0)</f>
        <v>0</v>
      </c>
      <c r="Q49" s="57" t="n">
        <f aca="false">IF(Q5=Inputs!$D$21,Inputs!$D$6*Inputs!$D$20/10000,0)</f>
        <v>11.77</v>
      </c>
      <c r="R49" s="57" t="n">
        <f aca="false">IF(R5=Inputs!$D$21,Inputs!$D$6*Inputs!$D$20/10000,0)</f>
        <v>0</v>
      </c>
      <c r="S49" s="57" t="n">
        <f aca="false">IF(S5=Inputs!$D$21,Inputs!$D$6*Inputs!$D$20/10000,0)</f>
        <v>0</v>
      </c>
      <c r="T49" s="57" t="n">
        <f aca="false">IF(T5=Inputs!$D$21,Inputs!$D$6*Inputs!$D$20/10000,0)</f>
        <v>0</v>
      </c>
      <c r="U49" s="57" t="n">
        <f aca="false">IF(U5=Inputs!$D$21,Inputs!$D$6*Inputs!$D$20/10000,0)</f>
        <v>0</v>
      </c>
      <c r="V49" s="57" t="n">
        <f aca="false">IF(V5=Inputs!$D$21,Inputs!$D$6*Inputs!$D$20/10000,0)</f>
        <v>0</v>
      </c>
      <c r="W49" s="57" t="n">
        <f aca="false">IF(W5=Inputs!$D$21,Inputs!$D$6*Inputs!$D$20/10000,0)</f>
        <v>0</v>
      </c>
      <c r="X49" s="57" t="n">
        <f aca="false">IF(X5=Inputs!$D$21,Inputs!$D$6*Inputs!$D$20/10000,0)</f>
        <v>0</v>
      </c>
      <c r="Y49" s="57" t="n">
        <f aca="false">IF(Y5=Inputs!$D$21,Inputs!$D$6*Inputs!$D$20/10000,0)</f>
        <v>0</v>
      </c>
      <c r="Z49" s="57" t="n">
        <f aca="false">IF(Z5=Inputs!$D$21,Inputs!$D$6*Inputs!$D$20/10000,0)</f>
        <v>0</v>
      </c>
      <c r="AA49" s="57" t="n">
        <f aca="false">IF(AA5=Inputs!$D$21,Inputs!$D$6*Inputs!$D$20/10000,0)</f>
        <v>0</v>
      </c>
      <c r="AB49" s="57" t="n">
        <f aca="false">IF(AB5=Inputs!$D$21,Inputs!$D$6*Inputs!$D$20/10000,0)</f>
        <v>0</v>
      </c>
      <c r="AC49" s="57" t="n">
        <f aca="false">IF(AC5=Inputs!$D$21,Inputs!$D$6*Inputs!$D$20/10000,0)</f>
        <v>0</v>
      </c>
      <c r="AD49" s="57" t="n">
        <f aca="false">IF(AD5=Inputs!$D$21,Inputs!$D$6*Inputs!$D$20/10000,0)</f>
        <v>0</v>
      </c>
    </row>
    <row r="50" customFormat="false" ht="15" hidden="false" customHeight="true" outlineLevel="0" collapsed="false">
      <c r="B50" s="40" t="s">
        <v>727</v>
      </c>
      <c r="C50" s="3" t="s">
        <v>297</v>
      </c>
      <c r="D50" s="59" t="n">
        <f aca="false">SUM(E50:AD50)</f>
        <v>521.106122346222</v>
      </c>
      <c r="E50" s="57" t="n">
        <f aca="false">E16-E46-E49</f>
        <v>6.3696</v>
      </c>
      <c r="F50" s="57" t="n">
        <f aca="false">F16-F46-F49</f>
        <v>25.4784</v>
      </c>
      <c r="G50" s="57" t="n">
        <f aca="false">G16-G46-G49</f>
        <v>25.3578464</v>
      </c>
      <c r="H50" s="57" t="n">
        <f aca="false">H16-H46-H49</f>
        <v>25.2377750144</v>
      </c>
      <c r="I50" s="57" t="n">
        <f aca="false">I16-I46-I49</f>
        <v>25.1181839143424</v>
      </c>
      <c r="J50" s="57" t="n">
        <f aca="false">J16-J46-J49</f>
        <v>24.999071178685</v>
      </c>
      <c r="K50" s="57" t="n">
        <f aca="false">K16-K46-K49</f>
        <v>24.8804348939703</v>
      </c>
      <c r="L50" s="57" t="n">
        <f aca="false">L16-L46-L49</f>
        <v>24.7622731543944</v>
      </c>
      <c r="M50" s="57" t="n">
        <f aca="false">M16-M46-M49</f>
        <v>24.6445840617768</v>
      </c>
      <c r="N50" s="57" t="n">
        <f aca="false">N16-N46-N49</f>
        <v>24.5273657255297</v>
      </c>
      <c r="O50" s="57" t="n">
        <f aca="false">O16-O46-O49</f>
        <v>24.4106162626276</v>
      </c>
      <c r="P50" s="57" t="n">
        <f aca="false">P16-P46-P49</f>
        <v>24.2943337975771</v>
      </c>
      <c r="Q50" s="57" t="n">
        <f aca="false">Q16-Q46-Q49</f>
        <v>12.4085164623868</v>
      </c>
      <c r="R50" s="57" t="n">
        <f aca="false">R16-R46-R49</f>
        <v>21.573496320953</v>
      </c>
      <c r="S50" s="57" t="n">
        <f aca="false">S16-S46-S49</f>
        <v>18.6499429714989</v>
      </c>
      <c r="T50" s="57" t="n">
        <f aca="false">T16-T46-T49</f>
        <v>18.2727209080465</v>
      </c>
      <c r="U50" s="57" t="n">
        <f aca="false">U16-U46-U49</f>
        <v>18.0124771755546</v>
      </c>
      <c r="V50" s="57" t="n">
        <f aca="false">V16-V46-V49</f>
        <v>17.8225560836165</v>
      </c>
      <c r="W50" s="57" t="n">
        <f aca="false">W16-W46-W49</f>
        <v>17.6749636754205</v>
      </c>
      <c r="X50" s="57" t="n">
        <f aca="false">X16-X46-X49</f>
        <v>17.5529030364819</v>
      </c>
      <c r="Y50" s="57" t="n">
        <f aca="false">Y16-Y46-Y49</f>
        <v>17.4462954798738</v>
      </c>
      <c r="Z50" s="57" t="n">
        <f aca="false">Z16-Z46-Z49</f>
        <v>17.349093257357</v>
      </c>
      <c r="AA50" s="57" t="n">
        <f aca="false">AA16-AA46-AA49</f>
        <v>17.2576671860492</v>
      </c>
      <c r="AB50" s="57" t="n">
        <f aca="false">AB16-AB46-AB49</f>
        <v>17.169839224418</v>
      </c>
      <c r="AC50" s="57" t="n">
        <f aca="false">AC16-AC46-AC49</f>
        <v>17.0843020178681</v>
      </c>
      <c r="AD50" s="57" t="n">
        <f aca="false">AD16-AD46-AD49</f>
        <v>12.750864143394</v>
      </c>
    </row>
    <row r="51" customFormat="false" ht="15" hidden="false" customHeight="true" outlineLevel="0" collapsed="false">
      <c r="B51" s="4" t="s">
        <v>728</v>
      </c>
      <c r="C51" s="3" t="s">
        <v>297</v>
      </c>
      <c r="E51" s="57" t="n">
        <f aca="false">E50-E30</f>
        <v>3.55953997582708</v>
      </c>
      <c r="F51" s="57" t="n">
        <f aca="false">F50-F30</f>
        <v>7.36336738461539</v>
      </c>
      <c r="G51" s="57" t="n">
        <f aca="false">G50-G30</f>
        <v>7.32961237661539</v>
      </c>
      <c r="H51" s="57" t="n">
        <f aca="false">H50-H30</f>
        <v>7.29599238864739</v>
      </c>
      <c r="I51" s="57" t="n">
        <f aca="false">I50-I30</f>
        <v>7.26250688063126</v>
      </c>
      <c r="J51" s="57" t="n">
        <f aca="false">J50-J30</f>
        <v>7.2291553146472</v>
      </c>
      <c r="K51" s="57" t="n">
        <f aca="false">K50-K30</f>
        <v>7.19593715492707</v>
      </c>
      <c r="L51" s="57" t="n">
        <f aca="false">L50-L30</f>
        <v>7.16285186784582</v>
      </c>
      <c r="M51" s="57" t="n">
        <f aca="false">M50-M30</f>
        <v>7.1298989219129</v>
      </c>
      <c r="N51" s="57" t="n">
        <f aca="false">N50-N30</f>
        <v>7.09707778776371</v>
      </c>
      <c r="O51" s="57" t="n">
        <f aca="false">O50-O30</f>
        <v>7.06438793815107</v>
      </c>
      <c r="P51" s="57" t="n">
        <f aca="false">P50-P30</f>
        <v>24.2943337975771</v>
      </c>
      <c r="Q51" s="57" t="n">
        <f aca="false">Q50-Q30</f>
        <v>12.4085164623868</v>
      </c>
      <c r="R51" s="57" t="n">
        <f aca="false">R50-R30</f>
        <v>21.573496320953</v>
      </c>
      <c r="S51" s="57" t="n">
        <f aca="false">S50-S30</f>
        <v>18.6499429714989</v>
      </c>
      <c r="T51" s="57" t="n">
        <f aca="false">T50-T30</f>
        <v>18.2727209080465</v>
      </c>
      <c r="U51" s="57" t="n">
        <f aca="false">U50-U30</f>
        <v>18.0124771755546</v>
      </c>
      <c r="V51" s="57" t="n">
        <f aca="false">V50-V30</f>
        <v>17.8225560836165</v>
      </c>
      <c r="W51" s="57" t="n">
        <f aca="false">W50-W30</f>
        <v>17.6749636754205</v>
      </c>
      <c r="X51" s="57" t="n">
        <f aca="false">X50-X30</f>
        <v>17.5529030364819</v>
      </c>
      <c r="Y51" s="57" t="n">
        <f aca="false">Y50-Y30</f>
        <v>17.4462954798738</v>
      </c>
      <c r="Z51" s="57" t="n">
        <f aca="false">Z50-Z30</f>
        <v>17.349093257357</v>
      </c>
      <c r="AA51" s="57" t="n">
        <f aca="false">AA50-AA30</f>
        <v>17.2576671860492</v>
      </c>
      <c r="AB51" s="57" t="n">
        <f aca="false">AB50-AB30</f>
        <v>17.169839224418</v>
      </c>
      <c r="AC51" s="57" t="n">
        <f aca="false">AC50-AC30</f>
        <v>17.0843020178681</v>
      </c>
      <c r="AD51" s="57" t="n">
        <f aca="false">AD50-AD30</f>
        <v>12.750864143394</v>
      </c>
    </row>
    <row r="52" customFormat="false" ht="15" hidden="false" customHeight="true" outlineLevel="0" collapsed="false">
      <c r="B52" s="4" t="s">
        <v>729</v>
      </c>
      <c r="C52" s="3" t="s">
        <v>297</v>
      </c>
      <c r="E52" s="57" t="n">
        <f aca="false">IF(Inputs!$D$41=1,Inputs!$D$40/12*F30,0)</f>
        <v>9.05751630769231</v>
      </c>
      <c r="F52" s="57" t="n">
        <f aca="false">IF(Inputs!$D$41=1,Inputs!$D$40/12*G30,0)</f>
        <v>9.01411701169231</v>
      </c>
      <c r="G52" s="57" t="n">
        <f aca="false">IF(Inputs!$D$41=1,Inputs!$D$40/12*H30,0)</f>
        <v>8.97089131287631</v>
      </c>
      <c r="H52" s="57" t="n">
        <f aca="false">IF(Inputs!$D$41=1,Inputs!$D$40/12*I30,0)</f>
        <v>8.92783851685557</v>
      </c>
      <c r="I52" s="57" t="n">
        <f aca="false">IF(Inputs!$D$41=1,Inputs!$D$40/12*J30,0)</f>
        <v>8.88495793201892</v>
      </c>
      <c r="J52" s="57" t="n">
        <f aca="false">IF(Inputs!$D$41=1,Inputs!$D$40/12*K30,0)</f>
        <v>8.84224886952161</v>
      </c>
      <c r="K52" s="57" t="n">
        <f aca="false">IF(Inputs!$D$41=1,Inputs!$D$40/12*L30,0)</f>
        <v>8.7997106432743</v>
      </c>
      <c r="L52" s="57" t="n">
        <f aca="false">IF(Inputs!$D$41=1,Inputs!$D$40/12*M30,0)</f>
        <v>8.75734256993196</v>
      </c>
      <c r="M52" s="57" t="n">
        <f aca="false">IF(Inputs!$D$41=1,Inputs!$D$40/12*N30,0)</f>
        <v>8.71514396888301</v>
      </c>
      <c r="N52" s="57" t="n">
        <f aca="false">IF(Inputs!$D$41=1,Inputs!$D$40/12*O30,0)</f>
        <v>8.67311416223827</v>
      </c>
      <c r="O52" s="57" t="n">
        <f aca="false">IF(Inputs!$D$41=1,Inputs!$D$40/12*P30,0)</f>
        <v>0</v>
      </c>
      <c r="P52" s="57" t="n">
        <f aca="false">IF(Inputs!$D$41=1,Inputs!$D$40/12*Q30,0)</f>
        <v>0</v>
      </c>
      <c r="Q52" s="57" t="n">
        <f aca="false">IF(Inputs!$D$41=1,Inputs!$D$40/12*R30,0)</f>
        <v>0</v>
      </c>
      <c r="R52" s="57" t="n">
        <f aca="false">IF(Inputs!$D$41=1,Inputs!$D$40/12*S30,0)</f>
        <v>0</v>
      </c>
      <c r="S52" s="57" t="n">
        <f aca="false">IF(Inputs!$D$41=1,Inputs!$D$40/12*T30,0)</f>
        <v>0</v>
      </c>
      <c r="T52" s="57" t="n">
        <f aca="false">IF(Inputs!$D$41=1,Inputs!$D$40/12*U30,0)</f>
        <v>0</v>
      </c>
      <c r="U52" s="57" t="n">
        <f aca="false">IF(Inputs!$D$41=1,Inputs!$D$40/12*V30,0)</f>
        <v>0</v>
      </c>
      <c r="V52" s="57" t="n">
        <f aca="false">IF(Inputs!$D$41=1,Inputs!$D$40/12*W30,0)</f>
        <v>0</v>
      </c>
      <c r="W52" s="57" t="n">
        <f aca="false">IF(Inputs!$D$41=1,Inputs!$D$40/12*X30,0)</f>
        <v>0</v>
      </c>
      <c r="X52" s="57" t="n">
        <f aca="false">IF(Inputs!$D$41=1,Inputs!$D$40/12*Y30,0)</f>
        <v>0</v>
      </c>
      <c r="Y52" s="57" t="n">
        <f aca="false">IF(Inputs!$D$41=1,Inputs!$D$40/12*Z30,0)</f>
        <v>0</v>
      </c>
      <c r="Z52" s="57" t="n">
        <f aca="false">IF(Inputs!$D$41=1,Inputs!$D$40/12*AA30,0)</f>
        <v>0</v>
      </c>
      <c r="AA52" s="57" t="n">
        <f aca="false">IF(Inputs!$D$41=1,Inputs!$D$40/12*AB30,0)</f>
        <v>0</v>
      </c>
      <c r="AB52" s="57" t="n">
        <f aca="false">IF(Inputs!$D$41=1,Inputs!$D$40/12*AC30,0)</f>
        <v>0</v>
      </c>
      <c r="AC52" s="57" t="n">
        <f aca="false">IF(Inputs!$D$41=1,Inputs!$D$40/12*AD30,0)</f>
        <v>0</v>
      </c>
      <c r="AD52" s="57" t="n">
        <v>0</v>
      </c>
    </row>
    <row r="53" customFormat="false" ht="15" hidden="false" customHeight="true" outlineLevel="0" collapsed="false">
      <c r="B53" s="4" t="s">
        <v>730</v>
      </c>
      <c r="C53" s="3" t="s">
        <v>297</v>
      </c>
      <c r="E53" s="57" t="n">
        <f aca="false">IF(Inputs!$C$110=1,E52,0)</f>
        <v>0</v>
      </c>
      <c r="F53" s="57" t="n">
        <f aca="false">E56</f>
        <v>3.55953997582708</v>
      </c>
      <c r="G53" s="57" t="n">
        <f aca="false">F56</f>
        <v>9.01411701169231</v>
      </c>
      <c r="H53" s="57" t="n">
        <f aca="false">G56</f>
        <v>8.97089131287631</v>
      </c>
      <c r="I53" s="57" t="n">
        <f aca="false">H56</f>
        <v>8.92783851685557</v>
      </c>
      <c r="J53" s="57" t="n">
        <f aca="false">I56</f>
        <v>8.88495793201892</v>
      </c>
      <c r="K53" s="57" t="n">
        <f aca="false">J56</f>
        <v>8.84224886952161</v>
      </c>
      <c r="L53" s="57" t="n">
        <f aca="false">K56</f>
        <v>8.7997106432743</v>
      </c>
      <c r="M53" s="57" t="n">
        <f aca="false">L56</f>
        <v>8.75734256993196</v>
      </c>
      <c r="N53" s="57" t="n">
        <f aca="false">M56</f>
        <v>8.71514396888301</v>
      </c>
      <c r="O53" s="57" t="n">
        <f aca="false">N56</f>
        <v>8.67311416223827</v>
      </c>
      <c r="P53" s="57" t="n">
        <f aca="false">O56</f>
        <v>0</v>
      </c>
      <c r="Q53" s="57" t="n">
        <f aca="false">P56</f>
        <v>0</v>
      </c>
      <c r="R53" s="57" t="n">
        <f aca="false">Q56</f>
        <v>0</v>
      </c>
      <c r="S53" s="57" t="n">
        <f aca="false">R56</f>
        <v>0</v>
      </c>
      <c r="T53" s="57" t="n">
        <f aca="false">S56</f>
        <v>0</v>
      </c>
      <c r="U53" s="57" t="n">
        <f aca="false">T56</f>
        <v>0</v>
      </c>
      <c r="V53" s="57" t="n">
        <f aca="false">U56</f>
        <v>0</v>
      </c>
      <c r="W53" s="57" t="n">
        <f aca="false">V56</f>
        <v>0</v>
      </c>
      <c r="X53" s="57" t="n">
        <f aca="false">W56</f>
        <v>0</v>
      </c>
      <c r="Y53" s="57" t="n">
        <f aca="false">X56</f>
        <v>0</v>
      </c>
      <c r="Z53" s="57" t="n">
        <f aca="false">Y56</f>
        <v>0</v>
      </c>
      <c r="AA53" s="57" t="n">
        <f aca="false">Z56</f>
        <v>0</v>
      </c>
      <c r="AB53" s="57" t="n">
        <f aca="false">AA56</f>
        <v>0</v>
      </c>
      <c r="AC53" s="57" t="n">
        <f aca="false">AB56</f>
        <v>0</v>
      </c>
      <c r="AD53" s="57" t="n">
        <f aca="false">AC56</f>
        <v>0</v>
      </c>
    </row>
    <row r="54" customFormat="false" ht="15" hidden="false" customHeight="true" outlineLevel="0" collapsed="false">
      <c r="B54" s="4" t="s">
        <v>731</v>
      </c>
      <c r="C54" s="3" t="s">
        <v>297</v>
      </c>
      <c r="D54" s="59" t="n">
        <f aca="false">SUM(E54:AD54)</f>
        <v>9.01411701169231</v>
      </c>
      <c r="E54" s="57" t="n">
        <f aca="false">MIN(MAX(E51,0),MAX(0,E52-E53))</f>
        <v>3.55953997582708</v>
      </c>
      <c r="F54" s="57" t="n">
        <f aca="false">MIN(MAX(F51,0),MAX(0,F52-F53))</f>
        <v>5.45457703586523</v>
      </c>
      <c r="G54" s="57" t="n">
        <f aca="false">MIN(MAX(G51,0),MAX(0,G52-G53))</f>
        <v>0</v>
      </c>
      <c r="H54" s="57" t="n">
        <f aca="false">MIN(MAX(H51,0),MAX(0,H52-H53))</f>
        <v>0</v>
      </c>
      <c r="I54" s="57" t="n">
        <f aca="false">MIN(MAX(I51,0),MAX(0,I52-I53))</f>
        <v>0</v>
      </c>
      <c r="J54" s="57" t="n">
        <f aca="false">MIN(MAX(J51,0),MAX(0,J52-J53))</f>
        <v>0</v>
      </c>
      <c r="K54" s="57" t="n">
        <f aca="false">MIN(MAX(K51,0),MAX(0,K52-K53))</f>
        <v>0</v>
      </c>
      <c r="L54" s="57" t="n">
        <f aca="false">MIN(MAX(L51,0),MAX(0,L52-L53))</f>
        <v>0</v>
      </c>
      <c r="M54" s="57" t="n">
        <f aca="false">MIN(MAX(M51,0),MAX(0,M52-M53))</f>
        <v>0</v>
      </c>
      <c r="N54" s="57" t="n">
        <f aca="false">MIN(MAX(N51,0),MAX(0,N52-N53))</f>
        <v>0</v>
      </c>
      <c r="O54" s="57" t="n">
        <f aca="false">MIN(MAX(O51,0),MAX(0,O52-O53))</f>
        <v>0</v>
      </c>
      <c r="P54" s="57" t="n">
        <f aca="false">MIN(MAX(P51,0),MAX(0,P52-P53))</f>
        <v>0</v>
      </c>
      <c r="Q54" s="57" t="n">
        <f aca="false">MIN(MAX(Q51,0),MAX(0,Q52-Q53))</f>
        <v>0</v>
      </c>
      <c r="R54" s="57" t="n">
        <f aca="false">MIN(MAX(R51,0),MAX(0,R52-R53))</f>
        <v>0</v>
      </c>
      <c r="S54" s="57" t="n">
        <f aca="false">MIN(MAX(S51,0),MAX(0,S52-S53))</f>
        <v>0</v>
      </c>
      <c r="T54" s="57" t="n">
        <f aca="false">MIN(MAX(T51,0),MAX(0,T52-T53))</f>
        <v>0</v>
      </c>
      <c r="U54" s="57" t="n">
        <f aca="false">MIN(MAX(U51,0),MAX(0,U52-U53))</f>
        <v>0</v>
      </c>
      <c r="V54" s="57" t="n">
        <f aca="false">MIN(MAX(V51,0),MAX(0,V52-V53))</f>
        <v>0</v>
      </c>
      <c r="W54" s="57" t="n">
        <f aca="false">MIN(MAX(W51,0),MAX(0,W52-W53))</f>
        <v>0</v>
      </c>
      <c r="X54" s="57" t="n">
        <f aca="false">MIN(MAX(X51,0),MAX(0,X52-X53))</f>
        <v>0</v>
      </c>
      <c r="Y54" s="57" t="n">
        <f aca="false">MIN(MAX(Y51,0),MAX(0,Y52-Y53))</f>
        <v>0</v>
      </c>
      <c r="Z54" s="57" t="n">
        <f aca="false">MIN(MAX(Z51,0),MAX(0,Z52-Z53))</f>
        <v>0</v>
      </c>
      <c r="AA54" s="57" t="n">
        <f aca="false">MIN(MAX(AA51,0),MAX(0,AA52-AA53))</f>
        <v>0</v>
      </c>
      <c r="AB54" s="57" t="n">
        <f aca="false">MIN(MAX(AB51,0),MAX(0,AB52-AB53))</f>
        <v>0</v>
      </c>
      <c r="AC54" s="57" t="n">
        <f aca="false">MIN(MAX(AC51,0),MAX(0,AC52-AC53))</f>
        <v>0</v>
      </c>
      <c r="AD54" s="57" t="n">
        <f aca="false">MIN(MAX(AD51,0),MAX(0,AD52-AD53))</f>
        <v>0</v>
      </c>
    </row>
    <row r="55" customFormat="false" ht="15" hidden="false" customHeight="true" outlineLevel="0" collapsed="false">
      <c r="B55" s="4" t="s">
        <v>732</v>
      </c>
      <c r="C55" s="3" t="s">
        <v>297</v>
      </c>
      <c r="D55" s="59" t="n">
        <f aca="false">SUM(E55:AD55)</f>
        <v>9.01411701169231</v>
      </c>
      <c r="E55" s="57" t="n">
        <f aca="false">MAX(0,E53-E52)</f>
        <v>0</v>
      </c>
      <c r="F55" s="57" t="n">
        <f aca="false">MAX(0,F53-F52)</f>
        <v>0</v>
      </c>
      <c r="G55" s="57" t="n">
        <f aca="false">MAX(0,G53-G52)</f>
        <v>0.043225698816002</v>
      </c>
      <c r="H55" s="57" t="n">
        <f aca="false">MAX(0,H53-H52)</f>
        <v>0.0430527960207368</v>
      </c>
      <c r="I55" s="57" t="n">
        <f aca="false">MAX(0,I53-I52)</f>
        <v>0.042880584836654</v>
      </c>
      <c r="J55" s="57" t="n">
        <f aca="false">MAX(0,J53-J52)</f>
        <v>0.0427090624973054</v>
      </c>
      <c r="K55" s="57" t="n">
        <f aca="false">MAX(0,K53-K52)</f>
        <v>0.0425382262473146</v>
      </c>
      <c r="L55" s="57" t="n">
        <f aca="false">MAX(0,L53-L52)</f>
        <v>0.0423680733423311</v>
      </c>
      <c r="M55" s="57" t="n">
        <f aca="false">MAX(0,M53-M52)</f>
        <v>0.0421986010489555</v>
      </c>
      <c r="N55" s="57" t="n">
        <f aca="false">MAX(0,N53-N52)</f>
        <v>0.0420298066447433</v>
      </c>
      <c r="O55" s="57" t="n">
        <f aca="false">MAX(0,O53-O52)</f>
        <v>8.67311416223827</v>
      </c>
      <c r="P55" s="57" t="n">
        <f aca="false">MAX(0,P53-P52)</f>
        <v>0</v>
      </c>
      <c r="Q55" s="57" t="n">
        <f aca="false">MAX(0,Q53-Q52)</f>
        <v>0</v>
      </c>
      <c r="R55" s="57" t="n">
        <f aca="false">MAX(0,R53-R52)</f>
        <v>0</v>
      </c>
      <c r="S55" s="57" t="n">
        <f aca="false">MAX(0,S53-S52)</f>
        <v>0</v>
      </c>
      <c r="T55" s="57" t="n">
        <f aca="false">MAX(0,T53-T52)</f>
        <v>0</v>
      </c>
      <c r="U55" s="57" t="n">
        <f aca="false">MAX(0,U53-U52)</f>
        <v>0</v>
      </c>
      <c r="V55" s="57" t="n">
        <f aca="false">MAX(0,V53-V52)</f>
        <v>0</v>
      </c>
      <c r="W55" s="57" t="n">
        <f aca="false">MAX(0,W53-W52)</f>
        <v>0</v>
      </c>
      <c r="X55" s="57" t="n">
        <f aca="false">MAX(0,X53-X52)</f>
        <v>0</v>
      </c>
      <c r="Y55" s="57" t="n">
        <f aca="false">MAX(0,Y53-Y52)</f>
        <v>0</v>
      </c>
      <c r="Z55" s="57" t="n">
        <f aca="false">MAX(0,Z53-Z52)</f>
        <v>0</v>
      </c>
      <c r="AA55" s="57" t="n">
        <f aca="false">MAX(0,AA53-AA52)</f>
        <v>0</v>
      </c>
      <c r="AB55" s="57" t="n">
        <f aca="false">MAX(0,AB53-AB52)</f>
        <v>0</v>
      </c>
      <c r="AC55" s="57" t="n">
        <f aca="false">MAX(0,AC53-AC52)</f>
        <v>0</v>
      </c>
      <c r="AD55" s="57" t="n">
        <f aca="false">MAX(0,AD53-AD52)</f>
        <v>0</v>
      </c>
    </row>
    <row r="56" customFormat="false" ht="15" hidden="false" customHeight="true" outlineLevel="0" collapsed="false">
      <c r="B56" s="4" t="s">
        <v>733</v>
      </c>
      <c r="C56" s="3" t="s">
        <v>297</v>
      </c>
      <c r="E56" s="57" t="n">
        <f aca="false">E53+E54-E55</f>
        <v>3.55953997582708</v>
      </c>
      <c r="F56" s="57" t="n">
        <f aca="false">F53+F54-F55</f>
        <v>9.01411701169231</v>
      </c>
      <c r="G56" s="57" t="n">
        <f aca="false">G53+G54-G55</f>
        <v>8.97089131287631</v>
      </c>
      <c r="H56" s="57" t="n">
        <f aca="false">H53+H54-H55</f>
        <v>8.92783851685557</v>
      </c>
      <c r="I56" s="57" t="n">
        <f aca="false">I53+I54-I55</f>
        <v>8.88495793201892</v>
      </c>
      <c r="J56" s="57" t="n">
        <f aca="false">J53+J54-J55</f>
        <v>8.84224886952161</v>
      </c>
      <c r="K56" s="57" t="n">
        <f aca="false">K53+K54-K55</f>
        <v>8.7997106432743</v>
      </c>
      <c r="L56" s="57" t="n">
        <f aca="false">L53+L54-L55</f>
        <v>8.75734256993196</v>
      </c>
      <c r="M56" s="57" t="n">
        <f aca="false">M53+M54-M55</f>
        <v>8.71514396888301</v>
      </c>
      <c r="N56" s="57" t="n">
        <f aca="false">N53+N54-N55</f>
        <v>8.67311416223827</v>
      </c>
      <c r="O56" s="57" t="n">
        <f aca="false">O53+O54-O55</f>
        <v>0</v>
      </c>
      <c r="P56" s="57" t="n">
        <f aca="false">P53+P54-P55</f>
        <v>0</v>
      </c>
      <c r="Q56" s="57" t="n">
        <f aca="false">Q53+Q54-Q55</f>
        <v>0</v>
      </c>
      <c r="R56" s="57" t="n">
        <f aca="false">R53+R54-R55</f>
        <v>0</v>
      </c>
      <c r="S56" s="57" t="n">
        <f aca="false">S53+S54-S55</f>
        <v>0</v>
      </c>
      <c r="T56" s="57" t="n">
        <f aca="false">T53+T54-T55</f>
        <v>0</v>
      </c>
      <c r="U56" s="57" t="n">
        <f aca="false">U53+U54-U55</f>
        <v>0</v>
      </c>
      <c r="V56" s="57" t="n">
        <f aca="false">V53+V54-V55</f>
        <v>0</v>
      </c>
      <c r="W56" s="57" t="n">
        <f aca="false">W53+W54-W55</f>
        <v>0</v>
      </c>
      <c r="X56" s="57" t="n">
        <f aca="false">X53+X54-X55</f>
        <v>0</v>
      </c>
      <c r="Y56" s="57" t="n">
        <f aca="false">Y53+Y54-Y55</f>
        <v>0</v>
      </c>
      <c r="Z56" s="57" t="n">
        <f aca="false">Z53+Z54-Z55</f>
        <v>0</v>
      </c>
      <c r="AA56" s="57" t="n">
        <f aca="false">AA53+AA54-AA55</f>
        <v>0</v>
      </c>
      <c r="AB56" s="57" t="n">
        <f aca="false">AB53+AB54-AB55</f>
        <v>0</v>
      </c>
      <c r="AC56" s="57" t="n">
        <f aca="false">AC53+AC54-AC55</f>
        <v>0</v>
      </c>
      <c r="AD56" s="57" t="n">
        <f aca="false">AD53+AD54-AD55</f>
        <v>0</v>
      </c>
    </row>
    <row r="57" customFormat="false" ht="15" hidden="false" customHeight="true" outlineLevel="0" collapsed="false">
      <c r="B57" s="4" t="s">
        <v>734</v>
      </c>
      <c r="C57" s="3" t="s">
        <v>297</v>
      </c>
      <c r="D57" s="59" t="n">
        <f aca="false">SUM(E57:AD57)</f>
        <v>341.01029973208</v>
      </c>
      <c r="E57" s="57" t="n">
        <f aca="false">E51-E54+E55-E41</f>
        <v>0</v>
      </c>
      <c r="F57" s="57" t="n">
        <f aca="false">F51-F54+F55-F41</f>
        <v>1.90879034875016</v>
      </c>
      <c r="G57" s="57" t="n">
        <f aca="false">G51-G54+G55-G41</f>
        <v>7.37283807543139</v>
      </c>
      <c r="H57" s="57" t="n">
        <f aca="false">H51-H54+H55-H41</f>
        <v>7.33904518466813</v>
      </c>
      <c r="I57" s="57" t="n">
        <f aca="false">I51-I54+I55-I41</f>
        <v>7.30538746546791</v>
      </c>
      <c r="J57" s="57" t="n">
        <f aca="false">J51-J54+J55-J41</f>
        <v>7.2718643771445</v>
      </c>
      <c r="K57" s="57" t="n">
        <f aca="false">K51-K54+K55-K41</f>
        <v>7.23847538117438</v>
      </c>
      <c r="L57" s="57" t="n">
        <f aca="false">L51-L54+L55-L41</f>
        <v>7.20521994118815</v>
      </c>
      <c r="M57" s="57" t="n">
        <f aca="false">M51-M54+M55-M41</f>
        <v>7.17209752296186</v>
      </c>
      <c r="N57" s="57" t="n">
        <f aca="false">N51-N54+N55-N41</f>
        <v>7.13910759440845</v>
      </c>
      <c r="O57" s="57" t="n">
        <f aca="false">O51-O54+O55-O41</f>
        <v>15.7375021003893</v>
      </c>
      <c r="P57" s="57" t="n">
        <f aca="false">P51-P54+P55-P41</f>
        <v>24.2943337975771</v>
      </c>
      <c r="Q57" s="57" t="n">
        <f aca="false">Q51-Q54+Q55-Q41</f>
        <v>12.4085164623868</v>
      </c>
      <c r="R57" s="57" t="n">
        <f aca="false">R51-R54+R55-R41</f>
        <v>21.573496320953</v>
      </c>
      <c r="S57" s="57" t="n">
        <f aca="false">S51-S54+S55-S41</f>
        <v>18.6499429714989</v>
      </c>
      <c r="T57" s="57" t="n">
        <f aca="false">T51-T54+T55-T41</f>
        <v>18.2727209080465</v>
      </c>
      <c r="U57" s="57" t="n">
        <f aca="false">U51-U54+U55-U41</f>
        <v>18.0124771755546</v>
      </c>
      <c r="V57" s="57" t="n">
        <f aca="false">V51-V54+V55-V41</f>
        <v>17.8225560836165</v>
      </c>
      <c r="W57" s="57" t="n">
        <f aca="false">W51-W54+W55-W41</f>
        <v>17.6749636754205</v>
      </c>
      <c r="X57" s="57" t="n">
        <f aca="false">X51-X54+X55-X41</f>
        <v>17.5529030364819</v>
      </c>
      <c r="Y57" s="57" t="n">
        <f aca="false">Y51-Y54+Y55-Y41</f>
        <v>17.4462954798738</v>
      </c>
      <c r="Z57" s="57" t="n">
        <f aca="false">Z51-Z54+Z55-Z41</f>
        <v>17.349093257357</v>
      </c>
      <c r="AA57" s="57" t="n">
        <f aca="false">AA51-AA54+AA55-AA41</f>
        <v>17.2576671860492</v>
      </c>
      <c r="AB57" s="57" t="n">
        <f aca="false">AB51-AB54+AB55-AB41</f>
        <v>17.169839224418</v>
      </c>
      <c r="AC57" s="57" t="n">
        <f aca="false">AC51-AC54+AC55-AC41</f>
        <v>17.0843020178681</v>
      </c>
      <c r="AD57" s="57" t="n">
        <f aca="false">AD51-AD54+AD55-AD41</f>
        <v>12.750864143394</v>
      </c>
    </row>
    <row r="58" customFormat="false" ht="15" hidden="false" customHeight="true" outlineLevel="0" collapsed="false">
      <c r="B58" s="4" t="s">
        <v>735</v>
      </c>
      <c r="C58" s="3" t="s">
        <v>297</v>
      </c>
      <c r="E58" s="57" t="n">
        <v>0</v>
      </c>
      <c r="F58" s="57" t="n">
        <f aca="false">E81</f>
        <v>0</v>
      </c>
      <c r="G58" s="57" t="n">
        <f aca="false">F81</f>
        <v>0</v>
      </c>
      <c r="H58" s="57" t="n">
        <f aca="false">G81</f>
        <v>0.711051596491576</v>
      </c>
      <c r="I58" s="57" t="n">
        <f aca="false">H81</f>
        <v>1.38831030221989</v>
      </c>
      <c r="J58" s="57" t="n">
        <f aca="false">I81</f>
        <v>2.03191128874799</v>
      </c>
      <c r="K58" s="57" t="n">
        <f aca="false">J81</f>
        <v>2.64198918695268</v>
      </c>
      <c r="L58" s="57" t="n">
        <f aca="false">K81</f>
        <v>3.21867808918725</v>
      </c>
      <c r="M58" s="57" t="n">
        <f aca="false">L81</f>
        <v>3.76211155143559</v>
      </c>
      <c r="N58" s="57" t="n">
        <f aca="false">M81</f>
        <v>4.27242259545763</v>
      </c>
      <c r="O58" s="57" t="n">
        <f aca="false">N81</f>
        <v>4.74974371092626</v>
      </c>
      <c r="P58" s="57" t="n">
        <f aca="false">O81</f>
        <v>13.8254593323758</v>
      </c>
      <c r="Q58" s="57" t="n">
        <f aca="false">P81</f>
        <v>0</v>
      </c>
      <c r="R58" s="57" t="n">
        <f aca="false">Q81</f>
        <v>0</v>
      </c>
      <c r="S58" s="57" t="n">
        <f aca="false">R81</f>
        <v>0</v>
      </c>
      <c r="T58" s="57" t="n">
        <f aca="false">S81</f>
        <v>0</v>
      </c>
      <c r="U58" s="57" t="n">
        <f aca="false">T81</f>
        <v>0</v>
      </c>
      <c r="V58" s="57" t="n">
        <f aca="false">U81</f>
        <v>0</v>
      </c>
      <c r="W58" s="57" t="n">
        <f aca="false">V81</f>
        <v>0</v>
      </c>
      <c r="X58" s="57" t="n">
        <f aca="false">W81</f>
        <v>0</v>
      </c>
      <c r="Y58" s="57" t="n">
        <f aca="false">X81</f>
        <v>0</v>
      </c>
      <c r="Z58" s="57" t="n">
        <f aca="false">Y81</f>
        <v>0</v>
      </c>
      <c r="AA58" s="57" t="n">
        <f aca="false">Z81</f>
        <v>0</v>
      </c>
      <c r="AB58" s="57" t="n">
        <f aca="false">AA81</f>
        <v>0</v>
      </c>
      <c r="AC58" s="57" t="n">
        <f aca="false">AB81</f>
        <v>0</v>
      </c>
      <c r="AD58" s="57" t="n">
        <f aca="false">AC81</f>
        <v>0</v>
      </c>
    </row>
    <row r="59" customFormat="false" ht="15" hidden="false" customHeight="true" outlineLevel="0" collapsed="false">
      <c r="B59" s="40" t="s">
        <v>736</v>
      </c>
      <c r="C59" s="3" t="s">
        <v>297</v>
      </c>
      <c r="E59" s="57" t="n">
        <f aca="false">E57+E58</f>
        <v>0</v>
      </c>
      <c r="F59" s="57" t="n">
        <f aca="false">F57+F58</f>
        <v>1.90879034875016</v>
      </c>
      <c r="G59" s="57" t="n">
        <f aca="false">G57+G58</f>
        <v>7.37283807543139</v>
      </c>
      <c r="H59" s="57" t="n">
        <f aca="false">H57+H58</f>
        <v>8.0500967811597</v>
      </c>
      <c r="I59" s="57" t="n">
        <f aca="false">I57+I58</f>
        <v>8.6936977676878</v>
      </c>
      <c r="J59" s="57" t="n">
        <f aca="false">J57+J58</f>
        <v>9.30377566589249</v>
      </c>
      <c r="K59" s="57" t="n">
        <f aca="false">K57+K58</f>
        <v>9.88046456812706</v>
      </c>
      <c r="L59" s="57" t="n">
        <f aca="false">L57+L58</f>
        <v>10.4238980303754</v>
      </c>
      <c r="M59" s="57" t="n">
        <f aca="false">M57+M58</f>
        <v>10.9342090743974</v>
      </c>
      <c r="N59" s="57" t="n">
        <f aca="false">N57+N58</f>
        <v>11.4115301898661</v>
      </c>
      <c r="O59" s="57" t="n">
        <f aca="false">O57+O58</f>
        <v>20.4872458113156</v>
      </c>
      <c r="P59" s="57" t="n">
        <f aca="false">P57+P58</f>
        <v>38.1197931299529</v>
      </c>
      <c r="Q59" s="57" t="n">
        <f aca="false">Q57+Q58</f>
        <v>12.4085164623868</v>
      </c>
      <c r="R59" s="57" t="n">
        <f aca="false">R57+R58</f>
        <v>21.573496320953</v>
      </c>
      <c r="S59" s="57" t="n">
        <f aca="false">S57+S58</f>
        <v>18.6499429714989</v>
      </c>
      <c r="T59" s="57" t="n">
        <f aca="false">T57+T58</f>
        <v>18.2727209080465</v>
      </c>
      <c r="U59" s="57" t="n">
        <f aca="false">U57+U58</f>
        <v>18.0124771755546</v>
      </c>
      <c r="V59" s="57" t="n">
        <f aca="false">V57+V58</f>
        <v>17.8225560836165</v>
      </c>
      <c r="W59" s="57" t="n">
        <f aca="false">W57+W58</f>
        <v>17.6749636754205</v>
      </c>
      <c r="X59" s="57" t="n">
        <f aca="false">X57+X58</f>
        <v>17.5529030364819</v>
      </c>
      <c r="Y59" s="57" t="n">
        <f aca="false">Y57+Y58</f>
        <v>17.4462954798738</v>
      </c>
      <c r="Z59" s="57" t="n">
        <f aca="false">Z57+Z58</f>
        <v>17.349093257357</v>
      </c>
      <c r="AA59" s="57" t="n">
        <f aca="false">AA57+AA58</f>
        <v>17.2576671860492</v>
      </c>
      <c r="AB59" s="57" t="n">
        <f aca="false">AB57+AB58</f>
        <v>17.169839224418</v>
      </c>
      <c r="AC59" s="57" t="n">
        <f aca="false">AC57+AC58</f>
        <v>17.0843020178681</v>
      </c>
      <c r="AD59" s="57" t="n">
        <f aca="false">AD57+AD58</f>
        <v>12.750864143394</v>
      </c>
    </row>
    <row r="60" customFormat="false" ht="15" hidden="false" customHeight="true" outlineLevel="0" collapsed="false">
      <c r="B60" s="21" t="s">
        <v>737</v>
      </c>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row>
    <row r="61" customFormat="false" ht="15" hidden="false" customHeight="true" outlineLevel="0" collapsed="false">
      <c r="B61" s="4" t="s">
        <v>738</v>
      </c>
      <c r="C61" s="3" t="s">
        <v>297</v>
      </c>
      <c r="D61" s="59" t="n">
        <f aca="false">SUM(E61:AD61)</f>
        <v>16.4254733745137</v>
      </c>
      <c r="E61" s="57" t="n">
        <f aca="false">'Sources &amp; Uses'!$D$31+'Sources &amp; Uses'!$D$37+'Sources &amp; Uses'!$D$40</f>
        <v>16.4254733745137</v>
      </c>
      <c r="F61" s="57" t="n">
        <v>0</v>
      </c>
      <c r="G61" s="57" t="n">
        <v>0</v>
      </c>
      <c r="H61" s="57" t="n">
        <v>0</v>
      </c>
      <c r="I61" s="57" t="n">
        <v>0</v>
      </c>
      <c r="J61" s="57" t="n">
        <v>0</v>
      </c>
      <c r="K61" s="57" t="n">
        <v>0</v>
      </c>
      <c r="L61" s="57" t="n">
        <v>0</v>
      </c>
      <c r="M61" s="57" t="n">
        <v>0</v>
      </c>
      <c r="N61" s="57" t="n">
        <v>0</v>
      </c>
      <c r="O61" s="57" t="n">
        <v>0</v>
      </c>
      <c r="P61" s="57" t="n">
        <v>0</v>
      </c>
      <c r="Q61" s="57" t="n">
        <v>0</v>
      </c>
      <c r="R61" s="57" t="n">
        <v>0</v>
      </c>
      <c r="S61" s="57" t="n">
        <v>0</v>
      </c>
      <c r="T61" s="57" t="n">
        <v>0</v>
      </c>
      <c r="U61" s="57" t="n">
        <v>0</v>
      </c>
      <c r="V61" s="57" t="n">
        <v>0</v>
      </c>
      <c r="W61" s="57" t="n">
        <v>0</v>
      </c>
      <c r="X61" s="57" t="n">
        <v>0</v>
      </c>
      <c r="Y61" s="57" t="n">
        <v>0</v>
      </c>
      <c r="Z61" s="57" t="n">
        <v>0</v>
      </c>
      <c r="AA61" s="57" t="n">
        <v>0</v>
      </c>
      <c r="AB61" s="57" t="n">
        <v>0</v>
      </c>
      <c r="AC61" s="57" t="n">
        <v>0</v>
      </c>
      <c r="AD61" s="57" t="n">
        <v>0</v>
      </c>
    </row>
    <row r="62" customFormat="false" ht="15" hidden="false" customHeight="true" outlineLevel="0" collapsed="false">
      <c r="B62" s="4" t="s">
        <v>739</v>
      </c>
      <c r="C62" s="3" t="s">
        <v>297</v>
      </c>
      <c r="E62" s="57" t="n">
        <v>0</v>
      </c>
      <c r="F62" s="57" t="n">
        <f aca="false">E74</f>
        <v>51.2711407796863</v>
      </c>
      <c r="G62" s="57" t="n">
        <f aca="false">F74</f>
        <v>55.5148873244984</v>
      </c>
      <c r="H62" s="57" t="n">
        <f aca="false">G74</f>
        <v>55.5148873244984</v>
      </c>
      <c r="I62" s="57" t="n">
        <f aca="false">H74</f>
        <v>55.5148873244984</v>
      </c>
      <c r="J62" s="57" t="n">
        <f aca="false">I74</f>
        <v>55.5148873244984</v>
      </c>
      <c r="K62" s="57" t="n">
        <f aca="false">J74</f>
        <v>55.5148873244984</v>
      </c>
      <c r="L62" s="57" t="n">
        <f aca="false">K74</f>
        <v>55.5148873244984</v>
      </c>
      <c r="M62" s="57" t="n">
        <f aca="false">L74</f>
        <v>55.5148873244984</v>
      </c>
      <c r="N62" s="57" t="n">
        <f aca="false">M74</f>
        <v>55.5148873244984</v>
      </c>
      <c r="O62" s="57" t="n">
        <f aca="false">N74</f>
        <v>55.5148873244984</v>
      </c>
      <c r="P62" s="57" t="n">
        <f aca="false">O74</f>
        <v>0</v>
      </c>
      <c r="Q62" s="57" t="n">
        <f aca="false">P74</f>
        <v>0</v>
      </c>
      <c r="R62" s="57" t="n">
        <f aca="false">Q74</f>
        <v>0</v>
      </c>
      <c r="S62" s="57" t="n">
        <f aca="false">R74</f>
        <v>0</v>
      </c>
      <c r="T62" s="57" t="n">
        <f aca="false">S74</f>
        <v>0</v>
      </c>
      <c r="U62" s="57" t="n">
        <f aca="false">T74</f>
        <v>0</v>
      </c>
      <c r="V62" s="57" t="n">
        <f aca="false">U74</f>
        <v>0</v>
      </c>
      <c r="W62" s="57" t="n">
        <f aca="false">V74</f>
        <v>0</v>
      </c>
      <c r="X62" s="57" t="n">
        <f aca="false">W74</f>
        <v>0</v>
      </c>
      <c r="Y62" s="57" t="n">
        <f aca="false">X74</f>
        <v>0</v>
      </c>
      <c r="Z62" s="57" t="n">
        <f aca="false">Y74</f>
        <v>0</v>
      </c>
      <c r="AA62" s="57" t="n">
        <f aca="false">Z74</f>
        <v>0</v>
      </c>
      <c r="AB62" s="57" t="n">
        <f aca="false">AA74</f>
        <v>0</v>
      </c>
      <c r="AC62" s="57" t="n">
        <f aca="false">AB74</f>
        <v>0</v>
      </c>
      <c r="AD62" s="57" t="n">
        <f aca="false">AC74</f>
        <v>0</v>
      </c>
    </row>
    <row r="63" customFormat="false" ht="15" hidden="false" customHeight="true" outlineLevel="0" collapsed="false">
      <c r="B63" s="4" t="s">
        <v>740</v>
      </c>
      <c r="C63" s="3" t="s">
        <v>297</v>
      </c>
      <c r="D63" s="59" t="n">
        <f aca="false">SUM(E63:AD63)</f>
        <v>47.9143491222443</v>
      </c>
      <c r="E63" s="57" t="n">
        <f aca="false">'Sources &amp; Uses'!$D$32</f>
        <v>47.9143491222443</v>
      </c>
      <c r="F63" s="57" t="n">
        <v>0</v>
      </c>
      <c r="G63" s="57" t="n">
        <v>0</v>
      </c>
      <c r="H63" s="57" t="n">
        <v>0</v>
      </c>
      <c r="I63" s="57" t="n">
        <v>0</v>
      </c>
      <c r="J63" s="57" t="n">
        <v>0</v>
      </c>
      <c r="K63" s="57" t="n">
        <v>0</v>
      </c>
      <c r="L63" s="57" t="n">
        <v>0</v>
      </c>
      <c r="M63" s="57" t="n">
        <v>0</v>
      </c>
      <c r="N63" s="57" t="n">
        <v>0</v>
      </c>
      <c r="O63" s="57" t="n">
        <v>0</v>
      </c>
      <c r="P63" s="57" t="n">
        <v>0</v>
      </c>
      <c r="Q63" s="57" t="n">
        <v>0</v>
      </c>
      <c r="R63" s="57" t="n">
        <v>0</v>
      </c>
      <c r="S63" s="57" t="n">
        <v>0</v>
      </c>
      <c r="T63" s="57" t="n">
        <v>0</v>
      </c>
      <c r="U63" s="57" t="n">
        <v>0</v>
      </c>
      <c r="V63" s="57" t="n">
        <v>0</v>
      </c>
      <c r="W63" s="57" t="n">
        <v>0</v>
      </c>
      <c r="X63" s="57" t="n">
        <v>0</v>
      </c>
      <c r="Y63" s="57" t="n">
        <v>0</v>
      </c>
      <c r="Z63" s="57" t="n">
        <v>0</v>
      </c>
      <c r="AA63" s="57" t="n">
        <v>0</v>
      </c>
      <c r="AB63" s="57" t="n">
        <v>0</v>
      </c>
      <c r="AC63" s="57" t="n">
        <v>0</v>
      </c>
      <c r="AD63" s="57" t="n">
        <v>0</v>
      </c>
    </row>
    <row r="64" customFormat="false" ht="15" hidden="false" customHeight="true" outlineLevel="0" collapsed="false">
      <c r="B64" s="4" t="s">
        <v>741</v>
      </c>
      <c r="C64" s="3" t="s">
        <v>297</v>
      </c>
      <c r="D64" s="59" t="n">
        <f aca="false">SUM(E64:AD64)</f>
        <v>69.4654068614626</v>
      </c>
      <c r="E64" s="57" t="n">
        <f aca="false">(E62+E63*'Construction Draws'!$C$76)*IF(Inputs!$D$56=1,Inputs!$D$57,Inputs!$D$59)</f>
        <v>3.35679165744197</v>
      </c>
      <c r="F64" s="57" t="n">
        <f aca="false">(F62+F63*'Construction Draws'!$C$76)*IF(Inputs!$D$56=1,Inputs!$D$57,Inputs!$D$59)</f>
        <v>6.15253689356235</v>
      </c>
      <c r="G64" s="57" t="n">
        <f aca="false">(G62+G63*'Construction Draws'!$C$76)*IF(Inputs!$D$56=1,Inputs!$D$57,Inputs!$D$59)</f>
        <v>6.66178647893981</v>
      </c>
      <c r="H64" s="57" t="n">
        <f aca="false">(H62+H63*'Construction Draws'!$C$76)*IF(Inputs!$D$56=1,Inputs!$D$57,Inputs!$D$59)</f>
        <v>6.66178647893981</v>
      </c>
      <c r="I64" s="57" t="n">
        <f aca="false">(I62+I63*'Construction Draws'!$C$76)*IF(Inputs!$D$56=1,Inputs!$D$57,Inputs!$D$59)</f>
        <v>6.66178647893981</v>
      </c>
      <c r="J64" s="57" t="n">
        <f aca="false">(J62+J63*'Construction Draws'!$C$76)*IF(Inputs!$D$56=1,Inputs!$D$57,Inputs!$D$59)</f>
        <v>6.66178647893981</v>
      </c>
      <c r="K64" s="57" t="n">
        <f aca="false">(K62+K63*'Construction Draws'!$C$76)*IF(Inputs!$D$56=1,Inputs!$D$57,Inputs!$D$59)</f>
        <v>6.66178647893981</v>
      </c>
      <c r="L64" s="57" t="n">
        <f aca="false">(L62+L63*'Construction Draws'!$C$76)*IF(Inputs!$D$56=1,Inputs!$D$57,Inputs!$D$59)</f>
        <v>6.66178647893981</v>
      </c>
      <c r="M64" s="57" t="n">
        <f aca="false">(M62+M63*'Construction Draws'!$C$76)*IF(Inputs!$D$56=1,Inputs!$D$57,Inputs!$D$59)</f>
        <v>6.66178647893981</v>
      </c>
      <c r="N64" s="57" t="n">
        <f aca="false">(N62+N63*'Construction Draws'!$C$76)*IF(Inputs!$D$56=1,Inputs!$D$57,Inputs!$D$59)</f>
        <v>6.66178647893981</v>
      </c>
      <c r="O64" s="57" t="n">
        <f aca="false">(O62+O63*'Construction Draws'!$C$76)*IF(Inputs!$D$56=1,Inputs!$D$57,Inputs!$D$59)</f>
        <v>6.66178647893981</v>
      </c>
      <c r="P64" s="57" t="n">
        <f aca="false">(P62+P63*'Construction Draws'!$C$76)*IF(Inputs!$D$56=1,Inputs!$D$57,Inputs!$D$59)</f>
        <v>0</v>
      </c>
      <c r="Q64" s="57" t="n">
        <f aca="false">(Q62+Q63*'Construction Draws'!$C$76)*IF(Inputs!$D$56=1,Inputs!$D$57,Inputs!$D$59)</f>
        <v>0</v>
      </c>
      <c r="R64" s="57" t="n">
        <f aca="false">(R62+R63*'Construction Draws'!$C$76)*IF(Inputs!$D$56=1,Inputs!$D$57,Inputs!$D$59)</f>
        <v>0</v>
      </c>
      <c r="S64" s="57" t="n">
        <f aca="false">(S62+S63*'Construction Draws'!$C$76)*IF(Inputs!$D$56=1,Inputs!$D$57,Inputs!$D$59)</f>
        <v>0</v>
      </c>
      <c r="T64" s="57" t="n">
        <f aca="false">(T62+T63*'Construction Draws'!$C$76)*IF(Inputs!$D$56=1,Inputs!$D$57,Inputs!$D$59)</f>
        <v>0</v>
      </c>
      <c r="U64" s="57" t="n">
        <f aca="false">(U62+U63*'Construction Draws'!$C$76)*IF(Inputs!$D$56=1,Inputs!$D$57,Inputs!$D$59)</f>
        <v>0</v>
      </c>
      <c r="V64" s="57" t="n">
        <f aca="false">(V62+V63*'Construction Draws'!$C$76)*IF(Inputs!$D$56=1,Inputs!$D$57,Inputs!$D$59)</f>
        <v>0</v>
      </c>
      <c r="W64" s="57" t="n">
        <f aca="false">(W62+W63*'Construction Draws'!$C$76)*IF(Inputs!$D$56=1,Inputs!$D$57,Inputs!$D$59)</f>
        <v>0</v>
      </c>
      <c r="X64" s="57" t="n">
        <f aca="false">(X62+X63*'Construction Draws'!$C$76)*IF(Inputs!$D$56=1,Inputs!$D$57,Inputs!$D$59)</f>
        <v>0</v>
      </c>
      <c r="Y64" s="57" t="n">
        <f aca="false">(Y62+Y63*'Construction Draws'!$C$76)*IF(Inputs!$D$56=1,Inputs!$D$57,Inputs!$D$59)</f>
        <v>0</v>
      </c>
      <c r="Z64" s="57" t="n">
        <f aca="false">(Z62+Z63*'Construction Draws'!$C$76)*IF(Inputs!$D$56=1,Inputs!$D$57,Inputs!$D$59)</f>
        <v>0</v>
      </c>
      <c r="AA64" s="57" t="n">
        <f aca="false">(AA62+AA63*'Construction Draws'!$C$76)*IF(Inputs!$D$56=1,Inputs!$D$57,Inputs!$D$59)</f>
        <v>0</v>
      </c>
      <c r="AB64" s="57" t="n">
        <f aca="false">(AB62+AB63*'Construction Draws'!$C$76)*IF(Inputs!$D$56=1,Inputs!$D$57,Inputs!$D$59)</f>
        <v>0</v>
      </c>
      <c r="AC64" s="57" t="n">
        <f aca="false">(AC62+AC63*'Construction Draws'!$C$76)*IF(Inputs!$D$56=1,Inputs!$D$57,Inputs!$D$59)</f>
        <v>0</v>
      </c>
      <c r="AD64" s="57" t="n">
        <f aca="false">(AD62+AD63*'Construction Draws'!$C$76)*IF(Inputs!$D$56=1,Inputs!$D$57,Inputs!$D$59)</f>
        <v>0</v>
      </c>
    </row>
    <row r="65" customFormat="false" ht="15" hidden="false" customHeight="true" outlineLevel="0" collapsed="false">
      <c r="B65" s="40" t="s">
        <v>742</v>
      </c>
      <c r="C65" s="3" t="s">
        <v>297</v>
      </c>
      <c r="D65" s="59" t="n">
        <f aca="false">SUM(E65:AD65)</f>
        <v>61.8648686592085</v>
      </c>
      <c r="E65" s="57" t="n">
        <f aca="false">IF(E5&gt;=Inputs!$D$60,MIN(MAX(E59,0),E64),0)</f>
        <v>0</v>
      </c>
      <c r="F65" s="57" t="n">
        <f aca="false">IF(F5&gt;=Inputs!$D$60,MIN(MAX(F59,0),F64),0)</f>
        <v>1.90879034875016</v>
      </c>
      <c r="G65" s="57" t="n">
        <f aca="false">IF(G5&gt;=Inputs!$D$60,MIN(MAX(G59,0),G64),0)</f>
        <v>6.66178647893981</v>
      </c>
      <c r="H65" s="57" t="n">
        <f aca="false">IF(H5&gt;=Inputs!$D$60,MIN(MAX(H59,0),H64),0)</f>
        <v>6.66178647893981</v>
      </c>
      <c r="I65" s="57" t="n">
        <f aca="false">IF(I5&gt;=Inputs!$D$60,MIN(MAX(I59,0),I64),0)</f>
        <v>6.66178647893981</v>
      </c>
      <c r="J65" s="57" t="n">
        <f aca="false">IF(J5&gt;=Inputs!$D$60,MIN(MAX(J59,0),J64),0)</f>
        <v>6.66178647893981</v>
      </c>
      <c r="K65" s="57" t="n">
        <f aca="false">IF(K5&gt;=Inputs!$D$60,MIN(MAX(K59,0),K64),0)</f>
        <v>6.66178647893981</v>
      </c>
      <c r="L65" s="57" t="n">
        <f aca="false">IF(L5&gt;=Inputs!$D$60,MIN(MAX(L59,0),L64),0)</f>
        <v>6.66178647893981</v>
      </c>
      <c r="M65" s="57" t="n">
        <f aca="false">IF(M5&gt;=Inputs!$D$60,MIN(MAX(M59,0),M64),0)</f>
        <v>6.66178647893981</v>
      </c>
      <c r="N65" s="57" t="n">
        <f aca="false">IF(N5&gt;=Inputs!$D$60,MIN(MAX(N59,0),N64),0)</f>
        <v>6.66178647893981</v>
      </c>
      <c r="O65" s="57" t="n">
        <f aca="false">IF(O5&gt;=Inputs!$D$60,MIN(MAX(O59,0),O64),0)</f>
        <v>6.66178647893981</v>
      </c>
      <c r="P65" s="57" t="n">
        <f aca="false">IF(P5&gt;=Inputs!$D$60,MIN(MAX(P59,0),P64),0)</f>
        <v>0</v>
      </c>
      <c r="Q65" s="57" t="n">
        <f aca="false">IF(Q5&gt;=Inputs!$D$60,MIN(MAX(Q59,0),Q64),0)</f>
        <v>0</v>
      </c>
      <c r="R65" s="57" t="n">
        <f aca="false">IF(R5&gt;=Inputs!$D$60,MIN(MAX(R59,0),R64),0)</f>
        <v>0</v>
      </c>
      <c r="S65" s="57" t="n">
        <f aca="false">IF(S5&gt;=Inputs!$D$60,MIN(MAX(S59,0),S64),0)</f>
        <v>0</v>
      </c>
      <c r="T65" s="57" t="n">
        <f aca="false">IF(T5&gt;=Inputs!$D$60,MIN(MAX(T59,0),T64),0)</f>
        <v>0</v>
      </c>
      <c r="U65" s="57" t="n">
        <f aca="false">IF(U5&gt;=Inputs!$D$60,MIN(MAX(U59,0),U64),0)</f>
        <v>0</v>
      </c>
      <c r="V65" s="57" t="n">
        <f aca="false">IF(V5&gt;=Inputs!$D$60,MIN(MAX(V59,0),V64),0)</f>
        <v>0</v>
      </c>
      <c r="W65" s="57" t="n">
        <f aca="false">IF(W5&gt;=Inputs!$D$60,MIN(MAX(W59,0),W64),0)</f>
        <v>0</v>
      </c>
      <c r="X65" s="57" t="n">
        <f aca="false">IF(X5&gt;=Inputs!$D$60,MIN(MAX(X59,0),X64),0)</f>
        <v>0</v>
      </c>
      <c r="Y65" s="57" t="n">
        <f aca="false">IF(Y5&gt;=Inputs!$D$60,MIN(MAX(Y59,0),Y64),0)</f>
        <v>0</v>
      </c>
      <c r="Z65" s="57" t="n">
        <f aca="false">IF(Z5&gt;=Inputs!$D$60,MIN(MAX(Z59,0),Z64),0)</f>
        <v>0</v>
      </c>
      <c r="AA65" s="57" t="n">
        <f aca="false">IF(AA5&gt;=Inputs!$D$60,MIN(MAX(AA59,0),AA64),0)</f>
        <v>0</v>
      </c>
      <c r="AB65" s="57" t="n">
        <f aca="false">IF(AB5&gt;=Inputs!$D$60,MIN(MAX(AB59,0),AB64),0)</f>
        <v>0</v>
      </c>
      <c r="AC65" s="57" t="n">
        <f aca="false">IF(AC5&gt;=Inputs!$D$60,MIN(MAX(AC59,0),AC64),0)</f>
        <v>0</v>
      </c>
      <c r="AD65" s="57" t="n">
        <f aca="false">IF(AD5&gt;=Inputs!$D$60,MIN(MAX(AD59,0),AD64),0)</f>
        <v>0</v>
      </c>
    </row>
    <row r="66" customFormat="false" ht="15" hidden="false" customHeight="true" outlineLevel="0" collapsed="false">
      <c r="B66" s="4" t="s">
        <v>743</v>
      </c>
      <c r="C66" s="3" t="s">
        <v>297</v>
      </c>
      <c r="E66" s="57" t="n">
        <f aca="false">E64-E65</f>
        <v>3.35679165744197</v>
      </c>
      <c r="F66" s="57" t="n">
        <f aca="false">F64-F65</f>
        <v>4.24374654481219</v>
      </c>
      <c r="G66" s="57" t="n">
        <f aca="false">G64-G65</f>
        <v>0</v>
      </c>
      <c r="H66" s="57" t="n">
        <f aca="false">H64-H65</f>
        <v>0</v>
      </c>
      <c r="I66" s="57" t="n">
        <f aca="false">I64-I65</f>
        <v>0</v>
      </c>
      <c r="J66" s="57" t="n">
        <f aca="false">J64-J65</f>
        <v>0</v>
      </c>
      <c r="K66" s="57" t="n">
        <f aca="false">K64-K65</f>
        <v>0</v>
      </c>
      <c r="L66" s="57" t="n">
        <f aca="false">L64-L65</f>
        <v>0</v>
      </c>
      <c r="M66" s="57" t="n">
        <f aca="false">M64-M65</f>
        <v>0</v>
      </c>
      <c r="N66" s="57" t="n">
        <f aca="false">N64-N65</f>
        <v>0</v>
      </c>
      <c r="O66" s="57" t="n">
        <f aca="false">O64-O65</f>
        <v>0</v>
      </c>
      <c r="P66" s="57" t="n">
        <f aca="false">P64-P65</f>
        <v>0</v>
      </c>
      <c r="Q66" s="57" t="n">
        <f aca="false">Q64-Q65</f>
        <v>0</v>
      </c>
      <c r="R66" s="57" t="n">
        <f aca="false">R64-R65</f>
        <v>0</v>
      </c>
      <c r="S66" s="57" t="n">
        <f aca="false">S64-S65</f>
        <v>0</v>
      </c>
      <c r="T66" s="57" t="n">
        <f aca="false">T64-T65</f>
        <v>0</v>
      </c>
      <c r="U66" s="57" t="n">
        <f aca="false">U64-U65</f>
        <v>0</v>
      </c>
      <c r="V66" s="57" t="n">
        <f aca="false">V64-V65</f>
        <v>0</v>
      </c>
      <c r="W66" s="57" t="n">
        <f aca="false">W64-W65</f>
        <v>0</v>
      </c>
      <c r="X66" s="57" t="n">
        <f aca="false">X64-X65</f>
        <v>0</v>
      </c>
      <c r="Y66" s="57" t="n">
        <f aca="false">Y64-Y65</f>
        <v>0</v>
      </c>
      <c r="Z66" s="57" t="n">
        <f aca="false">Z64-Z65</f>
        <v>0</v>
      </c>
      <c r="AA66" s="57" t="n">
        <f aca="false">AA64-AA65</f>
        <v>0</v>
      </c>
      <c r="AB66" s="57" t="n">
        <f aca="false">AB64-AB65</f>
        <v>0</v>
      </c>
      <c r="AC66" s="57" t="n">
        <f aca="false">AC64-AC65</f>
        <v>0</v>
      </c>
      <c r="AD66" s="57" t="n">
        <f aca="false">AD64-AD65</f>
        <v>0</v>
      </c>
    </row>
    <row r="67" customFormat="false" ht="15" hidden="false" customHeight="true" outlineLevel="0" collapsed="false">
      <c r="B67" s="4" t="s">
        <v>744</v>
      </c>
      <c r="C67" s="3" t="s">
        <v>297</v>
      </c>
      <c r="E67" s="57" t="n">
        <f aca="false">E59-E65</f>
        <v>0</v>
      </c>
      <c r="F67" s="57" t="n">
        <f aca="false">F59-F65</f>
        <v>0</v>
      </c>
      <c r="G67" s="57" t="n">
        <f aca="false">G59-G65</f>
        <v>0.711051596491576</v>
      </c>
      <c r="H67" s="57" t="n">
        <f aca="false">H59-H65</f>
        <v>1.38831030221989</v>
      </c>
      <c r="I67" s="57" t="n">
        <f aca="false">I59-I65</f>
        <v>2.03191128874799</v>
      </c>
      <c r="J67" s="57" t="n">
        <f aca="false">J59-J65</f>
        <v>2.64198918695268</v>
      </c>
      <c r="K67" s="57" t="n">
        <f aca="false">K59-K65</f>
        <v>3.21867808918725</v>
      </c>
      <c r="L67" s="57" t="n">
        <f aca="false">L59-L65</f>
        <v>3.76211155143559</v>
      </c>
      <c r="M67" s="57" t="n">
        <f aca="false">M59-M65</f>
        <v>4.27242259545763</v>
      </c>
      <c r="N67" s="57" t="n">
        <f aca="false">N59-N65</f>
        <v>4.74974371092626</v>
      </c>
      <c r="O67" s="57" t="n">
        <f aca="false">O59-O65</f>
        <v>13.8254593323758</v>
      </c>
      <c r="P67" s="57" t="n">
        <f aca="false">P59-P65</f>
        <v>38.1197931299529</v>
      </c>
      <c r="Q67" s="57" t="n">
        <f aca="false">Q59-Q65</f>
        <v>12.4085164623868</v>
      </c>
      <c r="R67" s="57" t="n">
        <f aca="false">R59-R65</f>
        <v>21.573496320953</v>
      </c>
      <c r="S67" s="57" t="n">
        <f aca="false">S59-S65</f>
        <v>18.6499429714989</v>
      </c>
      <c r="T67" s="57" t="n">
        <f aca="false">T59-T65</f>
        <v>18.2727209080465</v>
      </c>
      <c r="U67" s="57" t="n">
        <f aca="false">U59-U65</f>
        <v>18.0124771755546</v>
      </c>
      <c r="V67" s="57" t="n">
        <f aca="false">V59-V65</f>
        <v>17.8225560836165</v>
      </c>
      <c r="W67" s="57" t="n">
        <f aca="false">W59-W65</f>
        <v>17.6749636754205</v>
      </c>
      <c r="X67" s="57" t="n">
        <f aca="false">X59-X65</f>
        <v>17.5529030364819</v>
      </c>
      <c r="Y67" s="57" t="n">
        <f aca="false">Y59-Y65</f>
        <v>17.4462954798738</v>
      </c>
      <c r="Z67" s="57" t="n">
        <f aca="false">Z59-Z65</f>
        <v>17.349093257357</v>
      </c>
      <c r="AA67" s="57" t="n">
        <f aca="false">AA59-AA65</f>
        <v>17.2576671860492</v>
      </c>
      <c r="AB67" s="57" t="n">
        <f aca="false">AB59-AB65</f>
        <v>17.169839224418</v>
      </c>
      <c r="AC67" s="57" t="n">
        <f aca="false">AC59-AC65</f>
        <v>17.0843020178681</v>
      </c>
      <c r="AD67" s="57" t="n">
        <f aca="false">AD59-AD65</f>
        <v>12.750864143394</v>
      </c>
    </row>
    <row r="68" customFormat="false" ht="15" hidden="false" customHeight="true" outlineLevel="0" collapsed="false">
      <c r="B68" s="4" t="s">
        <v>745</v>
      </c>
      <c r="C68" s="3" t="s">
        <v>297</v>
      </c>
      <c r="E68" s="57" t="n">
        <v>0</v>
      </c>
      <c r="F68" s="57" t="n">
        <f aca="false">E70</f>
        <v>-3.65352056565445</v>
      </c>
      <c r="G68" s="57" t="n">
        <f aca="false">F70</f>
        <v>-10.9929730920667</v>
      </c>
      <c r="H68" s="57" t="n">
        <f aca="false">G70</f>
        <v>-18.2403755893936</v>
      </c>
      <c r="I68" s="57" t="n">
        <f aca="false">H70</f>
        <v>-24.8193155224992</v>
      </c>
      <c r="J68" s="57" t="n">
        <f aca="false">I70</f>
        <v>-30.6555939378612</v>
      </c>
      <c r="K68" s="57" t="n">
        <f aca="false">J70</f>
        <v>-29.6685965470908</v>
      </c>
      <c r="L68" s="57" t="n">
        <f aca="false">K70</f>
        <v>-27.7663987625167</v>
      </c>
      <c r="M68" s="57" t="n">
        <f aca="false">L70</f>
        <v>-24.84894209088</v>
      </c>
      <c r="N68" s="57" t="n">
        <f aca="false">M70</f>
        <v>-20.8056777469374</v>
      </c>
      <c r="O68" s="57" t="n">
        <f aca="false">N70</f>
        <v>-15.5144651094032</v>
      </c>
      <c r="P68" s="57" t="n">
        <f aca="false">O70</f>
        <v>-8.84035451501979</v>
      </c>
      <c r="Q68" s="57" t="n">
        <f aca="false">P70</f>
        <v>0</v>
      </c>
      <c r="R68" s="57" t="n">
        <f aca="false">Q70</f>
        <v>0</v>
      </c>
      <c r="S68" s="57" t="n">
        <f aca="false">R70</f>
        <v>0</v>
      </c>
      <c r="T68" s="57" t="n">
        <f aca="false">S70</f>
        <v>0</v>
      </c>
      <c r="U68" s="57" t="n">
        <f aca="false">T70</f>
        <v>0</v>
      </c>
      <c r="V68" s="57" t="n">
        <f aca="false">U70</f>
        <v>0</v>
      </c>
      <c r="W68" s="57" t="n">
        <f aca="false">V70</f>
        <v>0</v>
      </c>
      <c r="X68" s="57" t="n">
        <f aca="false">W70</f>
        <v>0</v>
      </c>
      <c r="Y68" s="57" t="n">
        <f aca="false">X70</f>
        <v>0</v>
      </c>
      <c r="Z68" s="57" t="n">
        <f aca="false">Y70</f>
        <v>0</v>
      </c>
      <c r="AA68" s="57" t="n">
        <f aca="false">Z70</f>
        <v>0</v>
      </c>
      <c r="AB68" s="57" t="n">
        <f aca="false">AA70</f>
        <v>0</v>
      </c>
      <c r="AC68" s="57" t="n">
        <f aca="false">AB70</f>
        <v>0</v>
      </c>
      <c r="AD68" s="57" t="n">
        <f aca="false">AC70</f>
        <v>0</v>
      </c>
    </row>
    <row r="69" customFormat="false" ht="15" hidden="false" customHeight="true" outlineLevel="0" collapsed="false">
      <c r="B69" s="40" t="s">
        <v>746</v>
      </c>
      <c r="C69" s="3" t="s">
        <v>297</v>
      </c>
      <c r="D69" s="59" t="n">
        <f aca="false">SUM(E69:AD69)</f>
        <v>207.205070373859</v>
      </c>
      <c r="E69" s="57" t="n">
        <f aca="false">MAX(0,MIN(E67-E72,E68+E47))</f>
        <v>0</v>
      </c>
      <c r="F69" s="57" t="n">
        <f aca="false">MAX(0,MIN(F67-F72,F68+F47))</f>
        <v>0</v>
      </c>
      <c r="G69" s="57" t="n">
        <f aca="false">MAX(0,MIN(G67-G72,G68+G47))</f>
        <v>0</v>
      </c>
      <c r="H69" s="57" t="n">
        <f aca="false">MAX(0,MIN(H67-H72,H68+H47))</f>
        <v>0</v>
      </c>
      <c r="I69" s="57" t="n">
        <f aca="false">MAX(0,MIN(I67-I72,I68+I47))</f>
        <v>0</v>
      </c>
      <c r="J69" s="57" t="n">
        <f aca="false">MAX(0,MIN(J67-J72,J68+J47))</f>
        <v>0</v>
      </c>
      <c r="K69" s="57" t="n">
        <f aca="false">MAX(0,MIN(K67-K72,K68+K47))</f>
        <v>0</v>
      </c>
      <c r="L69" s="57" t="n">
        <f aca="false">MAX(0,MIN(L67-L72,L68+L47))</f>
        <v>0</v>
      </c>
      <c r="M69" s="57" t="n">
        <f aca="false">MAX(0,MIN(M67-M72,M68+M47))</f>
        <v>0</v>
      </c>
      <c r="N69" s="57" t="n">
        <f aca="false">MAX(0,MIN(N67-N72,N68+N47))</f>
        <v>0</v>
      </c>
      <c r="O69" s="57" t="n">
        <f aca="false">MAX(0,MIN(O67-O72,O68+O47))</f>
        <v>0</v>
      </c>
      <c r="P69" s="57" t="n">
        <f aca="false">MAX(0,MIN(P67-P72,P68+P47))</f>
        <v>6.02754423268283</v>
      </c>
      <c r="Q69" s="57" t="n">
        <f aca="false">MAX(0,MIN(Q67-Q72,Q68+Q47))</f>
        <v>2.98208141251232</v>
      </c>
      <c r="R69" s="57" t="n">
        <f aca="false">MAX(0,MIN(R67-R72,R68+R47))</f>
        <v>12.1470612710785</v>
      </c>
      <c r="S69" s="57" t="n">
        <f aca="false">MAX(0,MIN(S67-S72,S68+S47))</f>
        <v>9.22350792162442</v>
      </c>
      <c r="T69" s="57" t="n">
        <f aca="false">MAX(0,MIN(T67-T72,T68+T47))</f>
        <v>8.84628585817208</v>
      </c>
      <c r="U69" s="57" t="n">
        <f aca="false">MAX(0,MIN(U67-U72,U68+U47))</f>
        <v>15.8701055733104</v>
      </c>
      <c r="V69" s="57" t="n">
        <f aca="false">MAX(0,MIN(V67-V72,V68+V47))</f>
        <v>17.8225560836165</v>
      </c>
      <c r="W69" s="57" t="n">
        <f aca="false">MAX(0,MIN(W67-W72,W68+W47))</f>
        <v>17.6749636754205</v>
      </c>
      <c r="X69" s="57" t="n">
        <f aca="false">MAX(0,MIN(X67-X72,X68+X47))</f>
        <v>17.5529030364819</v>
      </c>
      <c r="Y69" s="57" t="n">
        <f aca="false">MAX(0,MIN(Y67-Y72,Y68+Y47))</f>
        <v>17.4462954798738</v>
      </c>
      <c r="Z69" s="57" t="n">
        <f aca="false">MAX(0,MIN(Z67-Z72,Z68+Z47))</f>
        <v>17.349093257357</v>
      </c>
      <c r="AA69" s="57" t="n">
        <f aca="false">MAX(0,MIN(AA67-AA72,AA68+AA47))</f>
        <v>17.2576671860492</v>
      </c>
      <c r="AB69" s="57" t="n">
        <f aca="false">MAX(0,MIN(AB67-AB72,AB68+AB47))</f>
        <v>17.169839224418</v>
      </c>
      <c r="AC69" s="57" t="n">
        <f aca="false">MAX(0,MIN(AC67-AC72,AC68+AC47))</f>
        <v>17.0843020178681</v>
      </c>
      <c r="AD69" s="57" t="n">
        <f aca="false">MAX(0,MIN(AD67-AD72,AD68+AD47))</f>
        <v>12.750864143394</v>
      </c>
    </row>
    <row r="70" customFormat="false" ht="15" hidden="false" customHeight="true" outlineLevel="0" collapsed="false">
      <c r="B70" s="4" t="s">
        <v>747</v>
      </c>
      <c r="C70" s="3" t="s">
        <v>297</v>
      </c>
      <c r="E70" s="57" t="n">
        <f aca="false">E68+E47-E69</f>
        <v>-3.65352056565445</v>
      </c>
      <c r="F70" s="57" t="n">
        <f aca="false">F68+F47-F69</f>
        <v>-10.9929730920667</v>
      </c>
      <c r="G70" s="57" t="n">
        <f aca="false">G68+G47-G69</f>
        <v>-18.2403755893936</v>
      </c>
      <c r="H70" s="57" t="n">
        <f aca="false">H68+H47-H69</f>
        <v>-24.8193155224992</v>
      </c>
      <c r="I70" s="57" t="n">
        <f aca="false">I68+I47-I69</f>
        <v>-30.6555939378612</v>
      </c>
      <c r="J70" s="57" t="n">
        <f aca="false">J68+J47-J69</f>
        <v>-29.6685965470908</v>
      </c>
      <c r="K70" s="57" t="n">
        <f aca="false">K68+K47-K69</f>
        <v>-27.7663987625167</v>
      </c>
      <c r="L70" s="57" t="n">
        <f aca="false">L68+L47-L69</f>
        <v>-24.84894209088</v>
      </c>
      <c r="M70" s="57" t="n">
        <f aca="false">M68+M47-M69</f>
        <v>-20.8056777469374</v>
      </c>
      <c r="N70" s="57" t="n">
        <f aca="false">N68+N47-N69</f>
        <v>-15.5144651094032</v>
      </c>
      <c r="O70" s="57" t="n">
        <f aca="false">O68+O47-O69</f>
        <v>-8.84035451501979</v>
      </c>
      <c r="P70" s="57" t="n">
        <f aca="false">P68+P47-P69</f>
        <v>0</v>
      </c>
      <c r="Q70" s="57" t="n">
        <f aca="false">Q68+Q47-Q69</f>
        <v>0</v>
      </c>
      <c r="R70" s="57" t="n">
        <f aca="false">R68+R47-R69</f>
        <v>0</v>
      </c>
      <c r="S70" s="57" t="n">
        <f aca="false">S68+S47-S69</f>
        <v>0</v>
      </c>
      <c r="T70" s="57" t="n">
        <f aca="false">T68+T47-T69</f>
        <v>0</v>
      </c>
      <c r="U70" s="57" t="n">
        <f aca="false">U68+U47-U69</f>
        <v>0</v>
      </c>
      <c r="V70" s="57" t="n">
        <f aca="false">V68+V47-V69</f>
        <v>0</v>
      </c>
      <c r="W70" s="57" t="n">
        <f aca="false">W68+W47-W69</f>
        <v>0</v>
      </c>
      <c r="X70" s="57" t="n">
        <f aca="false">X68+X47-X69</f>
        <v>0</v>
      </c>
      <c r="Y70" s="57" t="n">
        <f aca="false">Y68+Y47-Y69</f>
        <v>0</v>
      </c>
      <c r="Z70" s="57" t="n">
        <f aca="false">Z68+Z47-Z69</f>
        <v>0</v>
      </c>
      <c r="AA70" s="57" t="n">
        <f aca="false">AA68+AA47-AA69</f>
        <v>0</v>
      </c>
      <c r="AB70" s="57" t="n">
        <f aca="false">AB68+AB47-AB69</f>
        <v>0</v>
      </c>
      <c r="AC70" s="57" t="n">
        <f aca="false">AC68+AC47-AC69</f>
        <v>0</v>
      </c>
      <c r="AD70" s="57" t="n">
        <f aca="false">AD68+AD47-AD69</f>
        <v>0</v>
      </c>
    </row>
    <row r="71" customFormat="false" ht="15" hidden="false" customHeight="true" outlineLevel="0" collapsed="false">
      <c r="B71" s="4" t="s">
        <v>748</v>
      </c>
      <c r="C71" s="3" t="s">
        <v>297</v>
      </c>
      <c r="E71" s="57" t="n">
        <f aca="false">E67-E72-E69</f>
        <v>0</v>
      </c>
      <c r="F71" s="57" t="n">
        <f aca="false">F67-F72-F69</f>
        <v>0</v>
      </c>
      <c r="G71" s="57" t="n">
        <f aca="false">G67-G72-G69</f>
        <v>0.711051596491576</v>
      </c>
      <c r="H71" s="57" t="n">
        <f aca="false">H67-H72-H69</f>
        <v>1.38831030221989</v>
      </c>
      <c r="I71" s="57" t="n">
        <f aca="false">I67-I72-I69</f>
        <v>2.03191128874799</v>
      </c>
      <c r="J71" s="57" t="n">
        <f aca="false">J67-J72-J69</f>
        <v>2.64198918695268</v>
      </c>
      <c r="K71" s="57" t="n">
        <f aca="false">K67-K72-K69</f>
        <v>3.21867808918725</v>
      </c>
      <c r="L71" s="57" t="n">
        <f aca="false">L67-L72-L69</f>
        <v>3.76211155143559</v>
      </c>
      <c r="M71" s="57" t="n">
        <f aca="false">M67-M72-M69</f>
        <v>4.27242259545763</v>
      </c>
      <c r="N71" s="57" t="n">
        <f aca="false">N67-N72-N69</f>
        <v>4.74974371092626</v>
      </c>
      <c r="O71" s="57" t="n">
        <f aca="false">O67-O72-O69</f>
        <v>13.8254593323758</v>
      </c>
      <c r="P71" s="57" t="n">
        <f aca="false">P67-P72-P69</f>
        <v>32.0922488972701</v>
      </c>
      <c r="Q71" s="57" t="n">
        <f aca="false">Q67-Q72-Q69</f>
        <v>9.42643504987447</v>
      </c>
      <c r="R71" s="57" t="n">
        <f aca="false">R67-R72-R69</f>
        <v>9.42643504987447</v>
      </c>
      <c r="S71" s="57" t="n">
        <f aca="false">S67-S72-S69</f>
        <v>9.42643504987447</v>
      </c>
      <c r="T71" s="57" t="n">
        <f aca="false">T67-T72-T69</f>
        <v>9.42643504987447</v>
      </c>
      <c r="U71" s="57" t="n">
        <f aca="false">U67-U72-U69</f>
        <v>2.14237160224417</v>
      </c>
      <c r="V71" s="57" t="n">
        <f aca="false">V67-V72-V69</f>
        <v>0</v>
      </c>
      <c r="W71" s="57" t="n">
        <f aca="false">W67-W72-W69</f>
        <v>0</v>
      </c>
      <c r="X71" s="57" t="n">
        <f aca="false">X67-X72-X69</f>
        <v>0</v>
      </c>
      <c r="Y71" s="57" t="n">
        <f aca="false">Y67-Y72-Y69</f>
        <v>0</v>
      </c>
      <c r="Z71" s="57" t="n">
        <f aca="false">Z67-Z72-Z69</f>
        <v>0</v>
      </c>
      <c r="AA71" s="57" t="n">
        <f aca="false">AA67-AA72-AA69</f>
        <v>0</v>
      </c>
      <c r="AB71" s="57" t="n">
        <f aca="false">AB67-AB72-AB69</f>
        <v>0</v>
      </c>
      <c r="AC71" s="57" t="n">
        <f aca="false">AC67-AC72-AC69</f>
        <v>0</v>
      </c>
      <c r="AD71" s="57" t="n">
        <f aca="false">AD67-AD72-AD69</f>
        <v>0</v>
      </c>
    </row>
    <row r="72" customFormat="false" ht="15" hidden="false" customHeight="true" outlineLevel="0" collapsed="false">
      <c r="B72" s="40" t="s">
        <v>749</v>
      </c>
      <c r="C72" s="3" t="s">
        <v>297</v>
      </c>
      <c r="D72" s="59" t="n">
        <f aca="false">SUM(E72:AD72)</f>
        <v>0</v>
      </c>
      <c r="E72" s="57" t="n">
        <f aca="false">IF(AND(Inputs!$D$56=2,E5&gt;=Inputs!$D$61),MIN(MAX(E67,0),E62+E66),0)</f>
        <v>0</v>
      </c>
      <c r="F72" s="57" t="n">
        <f aca="false">IF(AND(Inputs!$D$56=2,F5&gt;=Inputs!$D$61),MIN(MAX(F67,0),F62+F66),0)</f>
        <v>0</v>
      </c>
      <c r="G72" s="57" t="n">
        <f aca="false">IF(AND(Inputs!$D$56=2,G5&gt;=Inputs!$D$61),MIN(MAX(G67,0),G62+G66),0)</f>
        <v>0</v>
      </c>
      <c r="H72" s="57" t="n">
        <f aca="false">IF(AND(Inputs!$D$56=2,H5&gt;=Inputs!$D$61),MIN(MAX(H67,0),H62+H66),0)</f>
        <v>0</v>
      </c>
      <c r="I72" s="57" t="n">
        <f aca="false">IF(AND(Inputs!$D$56=2,I5&gt;=Inputs!$D$61),MIN(MAX(I67,0),I62+I66),0)</f>
        <v>0</v>
      </c>
      <c r="J72" s="57" t="n">
        <f aca="false">IF(AND(Inputs!$D$56=2,J5&gt;=Inputs!$D$61),MIN(MAX(J67,0),J62+J66),0)</f>
        <v>0</v>
      </c>
      <c r="K72" s="57" t="n">
        <f aca="false">IF(AND(Inputs!$D$56=2,K5&gt;=Inputs!$D$61),MIN(MAX(K67,0),K62+K66),0)</f>
        <v>0</v>
      </c>
      <c r="L72" s="57" t="n">
        <f aca="false">IF(AND(Inputs!$D$56=2,L5&gt;=Inputs!$D$61),MIN(MAX(L67,0),L62+L66),0)</f>
        <v>0</v>
      </c>
      <c r="M72" s="57" t="n">
        <f aca="false">IF(AND(Inputs!$D$56=2,M5&gt;=Inputs!$D$61),MIN(MAX(M67,0),M62+M66),0)</f>
        <v>0</v>
      </c>
      <c r="N72" s="57" t="n">
        <f aca="false">IF(AND(Inputs!$D$56=2,N5&gt;=Inputs!$D$61),MIN(MAX(N67,0),N62+N66),0)</f>
        <v>0</v>
      </c>
      <c r="O72" s="57" t="n">
        <f aca="false">IF(AND(Inputs!$D$56=2,O5&gt;=Inputs!$D$61),MIN(MAX(O67,0),O62+O66),0)</f>
        <v>0</v>
      </c>
      <c r="P72" s="57" t="n">
        <f aca="false">IF(AND(Inputs!$D$56=2,P5&gt;=Inputs!$D$61),MIN(MAX(P67,0),P62+P66),0)</f>
        <v>0</v>
      </c>
      <c r="Q72" s="57" t="n">
        <f aca="false">IF(AND(Inputs!$D$56=2,Q5&gt;=Inputs!$D$61),MIN(MAX(Q67,0),Q62+Q66),0)</f>
        <v>0</v>
      </c>
      <c r="R72" s="57" t="n">
        <f aca="false">IF(AND(Inputs!$D$56=2,R5&gt;=Inputs!$D$61),MIN(MAX(R67,0),R62+R66),0)</f>
        <v>0</v>
      </c>
      <c r="S72" s="57" t="n">
        <f aca="false">IF(AND(Inputs!$D$56=2,S5&gt;=Inputs!$D$61),MIN(MAX(S67,0),S62+S66),0)</f>
        <v>0</v>
      </c>
      <c r="T72" s="57" t="n">
        <f aca="false">IF(AND(Inputs!$D$56=2,T5&gt;=Inputs!$D$61),MIN(MAX(T67,0),T62+T66),0)</f>
        <v>0</v>
      </c>
      <c r="U72" s="57" t="n">
        <f aca="false">IF(AND(Inputs!$D$56=2,U5&gt;=Inputs!$D$61),MIN(MAX(U67,0),U62+U66),0)</f>
        <v>0</v>
      </c>
      <c r="V72" s="57" t="n">
        <f aca="false">IF(AND(Inputs!$D$56=2,V5&gt;=Inputs!$D$61),MIN(MAX(V67,0),V62+V66),0)</f>
        <v>0</v>
      </c>
      <c r="W72" s="57" t="n">
        <f aca="false">IF(AND(Inputs!$D$56=2,W5&gt;=Inputs!$D$61),MIN(MAX(W67,0),W62+W66),0)</f>
        <v>0</v>
      </c>
      <c r="X72" s="57" t="n">
        <f aca="false">IF(AND(Inputs!$D$56=2,X5&gt;=Inputs!$D$61),MIN(MAX(X67,0),X62+X66),0)</f>
        <v>0</v>
      </c>
      <c r="Y72" s="57" t="n">
        <f aca="false">IF(AND(Inputs!$D$56=2,Y5&gt;=Inputs!$D$61),MIN(MAX(Y67,0),Y62+Y66),0)</f>
        <v>0</v>
      </c>
      <c r="Z72" s="57" t="n">
        <f aca="false">IF(AND(Inputs!$D$56=2,Z5&gt;=Inputs!$D$61),MIN(MAX(Z67,0),Z62+Z66),0)</f>
        <v>0</v>
      </c>
      <c r="AA72" s="57" t="n">
        <f aca="false">IF(AND(Inputs!$D$56=2,AA5&gt;=Inputs!$D$61),MIN(MAX(AA67,0),AA62+AA66),0)</f>
        <v>0</v>
      </c>
      <c r="AB72" s="57" t="n">
        <f aca="false">IF(AND(Inputs!$D$56=2,AB5&gt;=Inputs!$D$61),MIN(MAX(AB67,0),AB62+AB66),0)</f>
        <v>0</v>
      </c>
      <c r="AC72" s="57" t="n">
        <f aca="false">IF(AND(Inputs!$D$56=2,AC5&gt;=Inputs!$D$61),MIN(MAX(AC67,0),AC62+AC66),0)</f>
        <v>0</v>
      </c>
      <c r="AD72" s="57" t="n">
        <f aca="false">IF(AND(Inputs!$D$56=2,AD5&gt;=Inputs!$D$61),MIN(MAX(AD67,0),AD62+AD66),0)</f>
        <v>0</v>
      </c>
    </row>
    <row r="73" customFormat="false" ht="15" hidden="false" customHeight="true" outlineLevel="0" collapsed="false">
      <c r="B73" s="4" t="s">
        <v>750</v>
      </c>
      <c r="C73" s="3" t="s">
        <v>297</v>
      </c>
      <c r="D73" s="59" t="n">
        <f aca="false">SUM(E73:AD73)</f>
        <v>55.5148873244984</v>
      </c>
      <c r="E73" s="57" t="n">
        <f aca="false">IF(AND(Inputs!$D$56=1,E5=Inputs!$D$58),E62+E63+E66-E72,0)</f>
        <v>0</v>
      </c>
      <c r="F73" s="57" t="n">
        <f aca="false">IF(AND(Inputs!$D$56=1,F5=Inputs!$D$58),F62+F63+F66-F72,0)</f>
        <v>0</v>
      </c>
      <c r="G73" s="57" t="n">
        <f aca="false">IF(AND(Inputs!$D$56=1,G5=Inputs!$D$58),G62+G63+G66-G72,0)</f>
        <v>0</v>
      </c>
      <c r="H73" s="57" t="n">
        <f aca="false">IF(AND(Inputs!$D$56=1,H5=Inputs!$D$58),H62+H63+H66-H72,0)</f>
        <v>0</v>
      </c>
      <c r="I73" s="57" t="n">
        <f aca="false">IF(AND(Inputs!$D$56=1,I5=Inputs!$D$58),I62+I63+I66-I72,0)</f>
        <v>0</v>
      </c>
      <c r="J73" s="57" t="n">
        <f aca="false">IF(AND(Inputs!$D$56=1,J5=Inputs!$D$58),J62+J63+J66-J72,0)</f>
        <v>0</v>
      </c>
      <c r="K73" s="57" t="n">
        <f aca="false">IF(AND(Inputs!$D$56=1,K5=Inputs!$D$58),K62+K63+K66-K72,0)</f>
        <v>0</v>
      </c>
      <c r="L73" s="57" t="n">
        <f aca="false">IF(AND(Inputs!$D$56=1,L5=Inputs!$D$58),L62+L63+L66-L72,0)</f>
        <v>0</v>
      </c>
      <c r="M73" s="57" t="n">
        <f aca="false">IF(AND(Inputs!$D$56=1,M5=Inputs!$D$58),M62+M63+M66-M72,0)</f>
        <v>0</v>
      </c>
      <c r="N73" s="57" t="n">
        <f aca="false">IF(AND(Inputs!$D$56=1,N5=Inputs!$D$58),N62+N63+N66-N72,0)</f>
        <v>0</v>
      </c>
      <c r="O73" s="57" t="n">
        <f aca="false">IF(AND(Inputs!$D$56=1,O5=Inputs!$D$58),O62+O63+O66-O72,0)</f>
        <v>55.5148873244984</v>
      </c>
      <c r="P73" s="57" t="n">
        <f aca="false">IF(AND(Inputs!$D$56=1,P5=Inputs!$D$58),P62+P63+P66-P72,0)</f>
        <v>0</v>
      </c>
      <c r="Q73" s="57" t="n">
        <f aca="false">IF(AND(Inputs!$D$56=1,Q5=Inputs!$D$58),Q62+Q63+Q66-Q72,0)</f>
        <v>0</v>
      </c>
      <c r="R73" s="57" t="n">
        <f aca="false">IF(AND(Inputs!$D$56=1,R5=Inputs!$D$58),R62+R63+R66-R72,0)</f>
        <v>0</v>
      </c>
      <c r="S73" s="57" t="n">
        <f aca="false">IF(AND(Inputs!$D$56=1,S5=Inputs!$D$58),S62+S63+S66-S72,0)</f>
        <v>0</v>
      </c>
      <c r="T73" s="57" t="n">
        <f aca="false">IF(AND(Inputs!$D$56=1,T5=Inputs!$D$58),T62+T63+T66-T72,0)</f>
        <v>0</v>
      </c>
      <c r="U73" s="57" t="n">
        <f aca="false">IF(AND(Inputs!$D$56=1,U5=Inputs!$D$58),U62+U63+U66-U72,0)</f>
        <v>0</v>
      </c>
      <c r="V73" s="57" t="n">
        <f aca="false">IF(AND(Inputs!$D$56=1,V5=Inputs!$D$58),V62+V63+V66-V72,0)</f>
        <v>0</v>
      </c>
      <c r="W73" s="57" t="n">
        <f aca="false">IF(AND(Inputs!$D$56=1,W5=Inputs!$D$58),W62+W63+W66-W72,0)</f>
        <v>0</v>
      </c>
      <c r="X73" s="57" t="n">
        <f aca="false">IF(AND(Inputs!$D$56=1,X5=Inputs!$D$58),X62+X63+X66-X72,0)</f>
        <v>0</v>
      </c>
      <c r="Y73" s="57" t="n">
        <f aca="false">IF(AND(Inputs!$D$56=1,Y5=Inputs!$D$58),Y62+Y63+Y66-Y72,0)</f>
        <v>0</v>
      </c>
      <c r="Z73" s="57" t="n">
        <f aca="false">IF(AND(Inputs!$D$56=1,Z5=Inputs!$D$58),Z62+Z63+Z66-Z72,0)</f>
        <v>0</v>
      </c>
      <c r="AA73" s="57" t="n">
        <f aca="false">IF(AND(Inputs!$D$56=1,AA5=Inputs!$D$58),AA62+AA63+AA66-AA72,0)</f>
        <v>0</v>
      </c>
      <c r="AB73" s="57" t="n">
        <f aca="false">IF(AND(Inputs!$D$56=1,AB5=Inputs!$D$58),AB62+AB63+AB66-AB72,0)</f>
        <v>0</v>
      </c>
      <c r="AC73" s="57" t="n">
        <f aca="false">IF(AND(Inputs!$D$56=1,AC5=Inputs!$D$58),AC62+AC63+AC66-AC72,0)</f>
        <v>0</v>
      </c>
      <c r="AD73" s="57" t="n">
        <f aca="false">IF(AND(Inputs!$D$56=1,AD5=Inputs!$D$58),AD62+AD63+AD66-AD72,0)</f>
        <v>0</v>
      </c>
    </row>
    <row r="74" customFormat="false" ht="15" hidden="false" customHeight="true" outlineLevel="0" collapsed="false">
      <c r="B74" s="4" t="s">
        <v>751</v>
      </c>
      <c r="C74" s="3" t="s">
        <v>297</v>
      </c>
      <c r="D74" s="59" t="n">
        <f aca="false">AD74</f>
        <v>0</v>
      </c>
      <c r="E74" s="57" t="n">
        <f aca="false">E62+E63+E66-E72-E73</f>
        <v>51.2711407796863</v>
      </c>
      <c r="F74" s="57" t="n">
        <f aca="false">F62+F63+F66-F72-F73</f>
        <v>55.5148873244984</v>
      </c>
      <c r="G74" s="57" t="n">
        <f aca="false">G62+G63+G66-G72-G73</f>
        <v>55.5148873244984</v>
      </c>
      <c r="H74" s="57" t="n">
        <f aca="false">H62+H63+H66-H72-H73</f>
        <v>55.5148873244984</v>
      </c>
      <c r="I74" s="57" t="n">
        <f aca="false">I62+I63+I66-I72-I73</f>
        <v>55.5148873244984</v>
      </c>
      <c r="J74" s="57" t="n">
        <f aca="false">J62+J63+J66-J72-J73</f>
        <v>55.5148873244984</v>
      </c>
      <c r="K74" s="57" t="n">
        <f aca="false">K62+K63+K66-K72-K73</f>
        <v>55.5148873244984</v>
      </c>
      <c r="L74" s="57" t="n">
        <f aca="false">L62+L63+L66-L72-L73</f>
        <v>55.5148873244984</v>
      </c>
      <c r="M74" s="57" t="n">
        <f aca="false">M62+M63+M66-M72-M73</f>
        <v>55.5148873244984</v>
      </c>
      <c r="N74" s="57" t="n">
        <f aca="false">N62+N63+N66-N72-N73</f>
        <v>55.5148873244984</v>
      </c>
      <c r="O74" s="57" t="n">
        <f aca="false">O62+O63+O66-O72-O73</f>
        <v>0</v>
      </c>
      <c r="P74" s="57" t="n">
        <f aca="false">P62+P63+P66-P72-P73</f>
        <v>0</v>
      </c>
      <c r="Q74" s="57" t="n">
        <f aca="false">Q62+Q63+Q66-Q72-Q73</f>
        <v>0</v>
      </c>
      <c r="R74" s="57" t="n">
        <f aca="false">R62+R63+R66-R72-R73</f>
        <v>0</v>
      </c>
      <c r="S74" s="57" t="n">
        <f aca="false">S62+S63+S66-S72-S73</f>
        <v>0</v>
      </c>
      <c r="T74" s="57" t="n">
        <f aca="false">T62+T63+T66-T72-T73</f>
        <v>0</v>
      </c>
      <c r="U74" s="57" t="n">
        <f aca="false">U62+U63+U66-U72-U73</f>
        <v>0</v>
      </c>
      <c r="V74" s="57" t="n">
        <f aca="false">V62+V63+V66-V72-V73</f>
        <v>0</v>
      </c>
      <c r="W74" s="57" t="n">
        <f aca="false">W62+W63+W66-W72-W73</f>
        <v>0</v>
      </c>
      <c r="X74" s="57" t="n">
        <f aca="false">X62+X63+X66-X72-X73</f>
        <v>0</v>
      </c>
      <c r="Y74" s="57" t="n">
        <f aca="false">Y62+Y63+Y66-Y72-Y73</f>
        <v>0</v>
      </c>
      <c r="Z74" s="57" t="n">
        <f aca="false">Z62+Z63+Z66-Z72-Z73</f>
        <v>0</v>
      </c>
      <c r="AA74" s="57" t="n">
        <f aca="false">AA62+AA63+AA66-AA72-AA73</f>
        <v>0</v>
      </c>
      <c r="AB74" s="57" t="n">
        <f aca="false">AB62+AB63+AB66-AB72-AB73</f>
        <v>0</v>
      </c>
      <c r="AC74" s="57" t="n">
        <f aca="false">AC62+AC63+AC66-AC72-AC73</f>
        <v>0</v>
      </c>
      <c r="AD74" s="57" t="n">
        <f aca="false">AD62+AD63+AD66-AD72-AD73</f>
        <v>0</v>
      </c>
    </row>
    <row r="75" customFormat="false" ht="15" hidden="false" customHeight="true" outlineLevel="0" collapsed="false">
      <c r="B75" s="4" t="s">
        <v>752</v>
      </c>
      <c r="C75" s="3" t="s">
        <v>297</v>
      </c>
      <c r="E75" s="57" t="n">
        <f aca="false">E71</f>
        <v>0</v>
      </c>
      <c r="F75" s="57" t="n">
        <f aca="false">F71</f>
        <v>0</v>
      </c>
      <c r="G75" s="57" t="n">
        <f aca="false">G71</f>
        <v>0.711051596491576</v>
      </c>
      <c r="H75" s="57" t="n">
        <f aca="false">H71</f>
        <v>1.38831030221989</v>
      </c>
      <c r="I75" s="57" t="n">
        <f aca="false">I71</f>
        <v>2.03191128874799</v>
      </c>
      <c r="J75" s="57" t="n">
        <f aca="false">J71</f>
        <v>2.64198918695268</v>
      </c>
      <c r="K75" s="57" t="n">
        <f aca="false">K71</f>
        <v>3.21867808918725</v>
      </c>
      <c r="L75" s="57" t="n">
        <f aca="false">L71</f>
        <v>3.76211155143559</v>
      </c>
      <c r="M75" s="57" t="n">
        <f aca="false">M71</f>
        <v>4.27242259545763</v>
      </c>
      <c r="N75" s="57" t="n">
        <f aca="false">N71</f>
        <v>4.74974371092626</v>
      </c>
      <c r="O75" s="57" t="n">
        <f aca="false">O71</f>
        <v>13.8254593323758</v>
      </c>
      <c r="P75" s="57" t="n">
        <f aca="false">P71</f>
        <v>32.0922488972701</v>
      </c>
      <c r="Q75" s="57" t="n">
        <f aca="false">Q71</f>
        <v>9.42643504987447</v>
      </c>
      <c r="R75" s="57" t="n">
        <f aca="false">R71</f>
        <v>9.42643504987447</v>
      </c>
      <c r="S75" s="57" t="n">
        <f aca="false">S71</f>
        <v>9.42643504987447</v>
      </c>
      <c r="T75" s="57" t="n">
        <f aca="false">T71</f>
        <v>9.42643504987447</v>
      </c>
      <c r="U75" s="57" t="n">
        <f aca="false">U71</f>
        <v>2.14237160224417</v>
      </c>
      <c r="V75" s="57" t="n">
        <f aca="false">V71</f>
        <v>0</v>
      </c>
      <c r="W75" s="57" t="n">
        <f aca="false">W71</f>
        <v>0</v>
      </c>
      <c r="X75" s="57" t="n">
        <f aca="false">X71</f>
        <v>0</v>
      </c>
      <c r="Y75" s="57" t="n">
        <f aca="false">Y71</f>
        <v>0</v>
      </c>
      <c r="Z75" s="57" t="n">
        <f aca="false">Z71</f>
        <v>0</v>
      </c>
      <c r="AA75" s="57" t="n">
        <f aca="false">AA71</f>
        <v>0</v>
      </c>
      <c r="AB75" s="57" t="n">
        <f aca="false">AB71</f>
        <v>0</v>
      </c>
      <c r="AC75" s="57" t="n">
        <f aca="false">AC71</f>
        <v>0</v>
      </c>
      <c r="AD75" s="57" t="n">
        <f aca="false">AD71</f>
        <v>0</v>
      </c>
    </row>
    <row r="76" customFormat="false" ht="15" hidden="false" customHeight="true" outlineLevel="0" collapsed="false">
      <c r="B76" s="4" t="s">
        <v>753</v>
      </c>
      <c r="C76" s="3" t="s">
        <v>297</v>
      </c>
      <c r="E76" s="57" t="n">
        <v>0</v>
      </c>
      <c r="F76" s="57" t="n">
        <f aca="false">E78</f>
        <v>16.4254733745137</v>
      </c>
      <c r="G76" s="57" t="n">
        <f aca="false">F78</f>
        <v>16.4254733745137</v>
      </c>
      <c r="H76" s="57" t="n">
        <f aca="false">G78</f>
        <v>16.4254733745137</v>
      </c>
      <c r="I76" s="57" t="n">
        <f aca="false">H78</f>
        <v>16.4254733745137</v>
      </c>
      <c r="J76" s="57" t="n">
        <f aca="false">I78</f>
        <v>16.4254733745137</v>
      </c>
      <c r="K76" s="57" t="n">
        <f aca="false">J78</f>
        <v>16.4254733745137</v>
      </c>
      <c r="L76" s="57" t="n">
        <f aca="false">K78</f>
        <v>16.4254733745137</v>
      </c>
      <c r="M76" s="57" t="n">
        <f aca="false">L78</f>
        <v>16.4254733745137</v>
      </c>
      <c r="N76" s="57" t="n">
        <f aca="false">M78</f>
        <v>16.4254733745137</v>
      </c>
      <c r="O76" s="57" t="n">
        <f aca="false">N78</f>
        <v>16.4254733745137</v>
      </c>
      <c r="P76" s="57" t="n">
        <f aca="false">O78</f>
        <v>71.9403606990122</v>
      </c>
      <c r="Q76" s="57" t="n">
        <f aca="false">P78</f>
        <v>39.8481118017421</v>
      </c>
      <c r="R76" s="57" t="n">
        <f aca="false">Q78</f>
        <v>30.4216767518676</v>
      </c>
      <c r="S76" s="57" t="n">
        <f aca="false">R78</f>
        <v>20.9952417019932</v>
      </c>
      <c r="T76" s="57" t="n">
        <f aca="false">S78</f>
        <v>11.5688066521187</v>
      </c>
      <c r="U76" s="57" t="n">
        <f aca="false">T78</f>
        <v>2.14237160224422</v>
      </c>
      <c r="V76" s="57" t="n">
        <f aca="false">U78</f>
        <v>4.79616346638068E-014</v>
      </c>
      <c r="W76" s="57" t="n">
        <f aca="false">V78</f>
        <v>4.79616346638068E-014</v>
      </c>
      <c r="X76" s="57" t="n">
        <f aca="false">W78</f>
        <v>4.79616346638068E-014</v>
      </c>
      <c r="Y76" s="57" t="n">
        <f aca="false">X78</f>
        <v>4.79616346638068E-014</v>
      </c>
      <c r="Z76" s="57" t="n">
        <f aca="false">Y78</f>
        <v>4.79616346638068E-014</v>
      </c>
      <c r="AA76" s="57" t="n">
        <f aca="false">Z78</f>
        <v>4.79616346638068E-014</v>
      </c>
      <c r="AB76" s="57" t="n">
        <f aca="false">AA78</f>
        <v>4.79616346638068E-014</v>
      </c>
      <c r="AC76" s="57" t="n">
        <f aca="false">AB78</f>
        <v>4.79616346638068E-014</v>
      </c>
      <c r="AD76" s="57" t="n">
        <f aca="false">AC78</f>
        <v>4.79616346638068E-014</v>
      </c>
    </row>
    <row r="77" customFormat="false" ht="15" hidden="false" customHeight="true" outlineLevel="0" collapsed="false">
      <c r="B77" s="4" t="s">
        <v>754</v>
      </c>
      <c r="C77" s="3" t="s">
        <v>297</v>
      </c>
      <c r="D77" s="59" t="n">
        <f aca="false">SUM(E77:AD77)</f>
        <v>71.9403606990121</v>
      </c>
      <c r="E77" s="57" t="n">
        <f aca="false">IF(E5&gt;=Inputs!$D$62,MIN(MAX(E75,0),E76+E61+E73),0)</f>
        <v>0</v>
      </c>
      <c r="F77" s="57" t="n">
        <f aca="false">IF(F5&gt;=Inputs!$D$62,MIN(MAX(F75,0),F76+F61+F73),0)</f>
        <v>0</v>
      </c>
      <c r="G77" s="57" t="n">
        <f aca="false">IF(G5&gt;=Inputs!$D$62,MIN(MAX(G75,0),G76+G61+G73),0)</f>
        <v>0</v>
      </c>
      <c r="H77" s="57" t="n">
        <f aca="false">IF(H5&gt;=Inputs!$D$62,MIN(MAX(H75,0),H76+H61+H73),0)</f>
        <v>0</v>
      </c>
      <c r="I77" s="57" t="n">
        <f aca="false">IF(I5&gt;=Inputs!$D$62,MIN(MAX(I75,0),I76+I61+I73),0)</f>
        <v>0</v>
      </c>
      <c r="J77" s="57" t="n">
        <f aca="false">IF(J5&gt;=Inputs!$D$62,MIN(MAX(J75,0),J76+J61+J73),0)</f>
        <v>0</v>
      </c>
      <c r="K77" s="57" t="n">
        <f aca="false">IF(K5&gt;=Inputs!$D$62,MIN(MAX(K75,0),K76+K61+K73),0)</f>
        <v>0</v>
      </c>
      <c r="L77" s="57" t="n">
        <f aca="false">IF(L5&gt;=Inputs!$D$62,MIN(MAX(L75,0),L76+L61+L73),0)</f>
        <v>0</v>
      </c>
      <c r="M77" s="57" t="n">
        <f aca="false">IF(M5&gt;=Inputs!$D$62,MIN(MAX(M75,0),M76+M61+M73),0)</f>
        <v>0</v>
      </c>
      <c r="N77" s="57" t="n">
        <f aca="false">IF(N5&gt;=Inputs!$D$62,MIN(MAX(N75,0),N76+N61+N73),0)</f>
        <v>0</v>
      </c>
      <c r="O77" s="57" t="n">
        <f aca="false">IF(O5&gt;=Inputs!$D$62,MIN(MAX(O75,0),O76+O61+O73),0)</f>
        <v>0</v>
      </c>
      <c r="P77" s="57" t="n">
        <f aca="false">IF(P5&gt;=Inputs!$D$62,MIN(MAX(P75,0),P76+P61+P73),0)</f>
        <v>32.0922488972701</v>
      </c>
      <c r="Q77" s="57" t="n">
        <f aca="false">IF(Q5&gt;=Inputs!$D$62,MIN(MAX(Q75,0),Q76+Q61+Q73),0)</f>
        <v>9.42643504987447</v>
      </c>
      <c r="R77" s="57" t="n">
        <f aca="false">IF(R5&gt;=Inputs!$D$62,MIN(MAX(R75,0),R76+R61+R73),0)</f>
        <v>9.42643504987447</v>
      </c>
      <c r="S77" s="57" t="n">
        <f aca="false">IF(S5&gt;=Inputs!$D$62,MIN(MAX(S75,0),S76+S61+S73),0)</f>
        <v>9.42643504987447</v>
      </c>
      <c r="T77" s="57" t="n">
        <f aca="false">IF(T5&gt;=Inputs!$D$62,MIN(MAX(T75,0),T76+T61+T73),0)</f>
        <v>9.42643504987447</v>
      </c>
      <c r="U77" s="57" t="n">
        <f aca="false">IF(U5&gt;=Inputs!$D$62,MIN(MAX(U75,0),U76+U61+U73),0)</f>
        <v>2.14237160224417</v>
      </c>
      <c r="V77" s="57" t="n">
        <f aca="false">IF(V5&gt;=Inputs!$D$62,MIN(MAX(V75,0),V76+V61+V73),0)</f>
        <v>0</v>
      </c>
      <c r="W77" s="57" t="n">
        <f aca="false">IF(W5&gt;=Inputs!$D$62,MIN(MAX(W75,0),W76+W61+W73),0)</f>
        <v>0</v>
      </c>
      <c r="X77" s="57" t="n">
        <f aca="false">IF(X5&gt;=Inputs!$D$62,MIN(MAX(X75,0),X76+X61+X73),0)</f>
        <v>0</v>
      </c>
      <c r="Y77" s="57" t="n">
        <f aca="false">IF(Y5&gt;=Inputs!$D$62,MIN(MAX(Y75,0),Y76+Y61+Y73),0)</f>
        <v>0</v>
      </c>
      <c r="Z77" s="57" t="n">
        <f aca="false">IF(Z5&gt;=Inputs!$D$62,MIN(MAX(Z75,0),Z76+Z61+Z73),0)</f>
        <v>0</v>
      </c>
      <c r="AA77" s="57" t="n">
        <f aca="false">IF(AA5&gt;=Inputs!$D$62,MIN(MAX(AA75,0),AA76+AA61+AA73),0)</f>
        <v>0</v>
      </c>
      <c r="AB77" s="57" t="n">
        <f aca="false">IF(AB5&gt;=Inputs!$D$62,MIN(MAX(AB75,0),AB76+AB61+AB73),0)</f>
        <v>0</v>
      </c>
      <c r="AC77" s="57" t="n">
        <f aca="false">IF(AC5&gt;=Inputs!$D$62,MIN(MAX(AC75,0),AC76+AC61+AC73),0)</f>
        <v>0</v>
      </c>
      <c r="AD77" s="57" t="n">
        <f aca="false">IF(AD5&gt;=Inputs!$D$62,MIN(MAX(AD75,0),AD76+AD61+AD73),0)</f>
        <v>0</v>
      </c>
    </row>
    <row r="78" customFormat="false" ht="15" hidden="false" customHeight="true" outlineLevel="0" collapsed="false">
      <c r="B78" s="4" t="s">
        <v>755</v>
      </c>
      <c r="C78" s="3" t="s">
        <v>297</v>
      </c>
      <c r="E78" s="57" t="n">
        <f aca="false">E76+E61+E73-E77-E80</f>
        <v>16.4254733745137</v>
      </c>
      <c r="F78" s="57" t="n">
        <f aca="false">F76+F61+F73-F77-F80</f>
        <v>16.4254733745137</v>
      </c>
      <c r="G78" s="57" t="n">
        <f aca="false">G76+G61+G73-G77-G80</f>
        <v>16.4254733745137</v>
      </c>
      <c r="H78" s="57" t="n">
        <f aca="false">H76+H61+H73-H77-H80</f>
        <v>16.4254733745137</v>
      </c>
      <c r="I78" s="57" t="n">
        <f aca="false">I76+I61+I73-I77-I80</f>
        <v>16.4254733745137</v>
      </c>
      <c r="J78" s="57" t="n">
        <f aca="false">J76+J61+J73-J77-J80</f>
        <v>16.4254733745137</v>
      </c>
      <c r="K78" s="57" t="n">
        <f aca="false">K76+K61+K73-K77-K80</f>
        <v>16.4254733745137</v>
      </c>
      <c r="L78" s="57" t="n">
        <f aca="false">L76+L61+L73-L77-L80</f>
        <v>16.4254733745137</v>
      </c>
      <c r="M78" s="57" t="n">
        <f aca="false">M76+M61+M73-M77-M80</f>
        <v>16.4254733745137</v>
      </c>
      <c r="N78" s="57" t="n">
        <f aca="false">N76+N61+N73-N77-N80</f>
        <v>16.4254733745137</v>
      </c>
      <c r="O78" s="57" t="n">
        <f aca="false">O76+O61+O73-O77-O80</f>
        <v>71.9403606990122</v>
      </c>
      <c r="P78" s="57" t="n">
        <f aca="false">P76+P61+P73-P77-P80</f>
        <v>39.8481118017421</v>
      </c>
      <c r="Q78" s="57" t="n">
        <f aca="false">Q76+Q61+Q73-Q77-Q80</f>
        <v>30.4216767518676</v>
      </c>
      <c r="R78" s="57" t="n">
        <f aca="false">R76+R61+R73-R77-R80</f>
        <v>20.9952417019932</v>
      </c>
      <c r="S78" s="57" t="n">
        <f aca="false">S76+S61+S73-S77-S80</f>
        <v>11.5688066521187</v>
      </c>
      <c r="T78" s="57" t="n">
        <f aca="false">T76+T61+T73-T77-T80</f>
        <v>2.14237160224422</v>
      </c>
      <c r="U78" s="57" t="n">
        <f aca="false">U76+U61+U73-U77-U80</f>
        <v>4.79616346638068E-014</v>
      </c>
      <c r="V78" s="57" t="n">
        <f aca="false">V76+V61+V73-V77-V80</f>
        <v>4.79616346638068E-014</v>
      </c>
      <c r="W78" s="57" t="n">
        <f aca="false">W76+W61+W73-W77-W80</f>
        <v>4.79616346638068E-014</v>
      </c>
      <c r="X78" s="57" t="n">
        <f aca="false">X76+X61+X73-X77-X80</f>
        <v>4.79616346638068E-014</v>
      </c>
      <c r="Y78" s="57" t="n">
        <f aca="false">Y76+Y61+Y73-Y77-Y80</f>
        <v>4.79616346638068E-014</v>
      </c>
      <c r="Z78" s="57" t="n">
        <f aca="false">Z76+Z61+Z73-Z77-Z80</f>
        <v>4.79616346638068E-014</v>
      </c>
      <c r="AA78" s="57" t="n">
        <f aca="false">AA76+AA61+AA73-AA77-AA80</f>
        <v>4.79616346638068E-014</v>
      </c>
      <c r="AB78" s="57" t="n">
        <f aca="false">AB76+AB61+AB73-AB77-AB80</f>
        <v>4.79616346638068E-014</v>
      </c>
      <c r="AC78" s="57" t="n">
        <f aca="false">AC76+AC61+AC73-AC77-AC80</f>
        <v>4.79616346638068E-014</v>
      </c>
      <c r="AD78" s="57" t="n">
        <f aca="false">AD76+AD61+AD73-AD77-AD80</f>
        <v>4.79616346638068E-014</v>
      </c>
    </row>
    <row r="79" customFormat="false" ht="15" hidden="false" customHeight="true" outlineLevel="0" collapsed="false">
      <c r="B79" s="4" t="s">
        <v>756</v>
      </c>
      <c r="C79" s="3" t="s">
        <v>297</v>
      </c>
      <c r="E79" s="57" t="n">
        <f aca="false">E75-E77</f>
        <v>0</v>
      </c>
      <c r="F79" s="57" t="n">
        <f aca="false">F75-F77</f>
        <v>0</v>
      </c>
      <c r="G79" s="57" t="n">
        <f aca="false">G75-G77</f>
        <v>0.711051596491576</v>
      </c>
      <c r="H79" s="57" t="n">
        <f aca="false">H75-H77</f>
        <v>1.38831030221989</v>
      </c>
      <c r="I79" s="57" t="n">
        <f aca="false">I75-I77</f>
        <v>2.03191128874799</v>
      </c>
      <c r="J79" s="57" t="n">
        <f aca="false">J75-J77</f>
        <v>2.64198918695268</v>
      </c>
      <c r="K79" s="57" t="n">
        <f aca="false">K75-K77</f>
        <v>3.21867808918725</v>
      </c>
      <c r="L79" s="57" t="n">
        <f aca="false">L75-L77</f>
        <v>3.76211155143559</v>
      </c>
      <c r="M79" s="57" t="n">
        <f aca="false">M75-M77</f>
        <v>4.27242259545763</v>
      </c>
      <c r="N79" s="57" t="n">
        <f aca="false">N75-N77</f>
        <v>4.74974371092626</v>
      </c>
      <c r="O79" s="57" t="n">
        <f aca="false">O75-O77</f>
        <v>13.8254593323758</v>
      </c>
      <c r="P79" s="57" t="n">
        <f aca="false">P75-P77</f>
        <v>0</v>
      </c>
      <c r="Q79" s="57" t="n">
        <f aca="false">Q75-Q77</f>
        <v>0</v>
      </c>
      <c r="R79" s="57" t="n">
        <f aca="false">R75-R77</f>
        <v>0</v>
      </c>
      <c r="S79" s="57" t="n">
        <f aca="false">S75-S77</f>
        <v>0</v>
      </c>
      <c r="T79" s="57" t="n">
        <f aca="false">T75-T77</f>
        <v>0</v>
      </c>
      <c r="U79" s="57" t="n">
        <f aca="false">U75-U77</f>
        <v>0</v>
      </c>
      <c r="V79" s="57" t="n">
        <f aca="false">V75-V77</f>
        <v>0</v>
      </c>
      <c r="W79" s="57" t="n">
        <f aca="false">W75-W77</f>
        <v>0</v>
      </c>
      <c r="X79" s="57" t="n">
        <f aca="false">X75-X77</f>
        <v>0</v>
      </c>
      <c r="Y79" s="57" t="n">
        <f aca="false">Y75-Y77</f>
        <v>0</v>
      </c>
      <c r="Z79" s="57" t="n">
        <f aca="false">Z75-Z77</f>
        <v>0</v>
      </c>
      <c r="AA79" s="57" t="n">
        <f aca="false">AA75-AA77</f>
        <v>0</v>
      </c>
      <c r="AB79" s="57" t="n">
        <f aca="false">AB75-AB77</f>
        <v>0</v>
      </c>
      <c r="AC79" s="57" t="n">
        <f aca="false">AC75-AC77</f>
        <v>0</v>
      </c>
      <c r="AD79" s="57" t="n">
        <f aca="false">AD75-AD77</f>
        <v>0</v>
      </c>
    </row>
    <row r="80" customFormat="false" ht="15" hidden="false" customHeight="true" outlineLevel="0" collapsed="false">
      <c r="B80" s="40" t="s">
        <v>757</v>
      </c>
      <c r="C80" s="3" t="s">
        <v>297</v>
      </c>
      <c r="D80" s="59" t="n">
        <f aca="false">SUM(E80:AD80)</f>
        <v>0</v>
      </c>
      <c r="E80" s="57" t="n">
        <f aca="false">IF(E5=Inputs!$D$17,E79,0)</f>
        <v>0</v>
      </c>
      <c r="F80" s="57" t="n">
        <f aca="false">IF(F5=Inputs!$D$17,F79,0)</f>
        <v>0</v>
      </c>
      <c r="G80" s="57" t="n">
        <f aca="false">IF(G5=Inputs!$D$17,G79,0)</f>
        <v>0</v>
      </c>
      <c r="H80" s="57" t="n">
        <f aca="false">IF(H5=Inputs!$D$17,H79,0)</f>
        <v>0</v>
      </c>
      <c r="I80" s="57" t="n">
        <f aca="false">IF(I5=Inputs!$D$17,I79,0)</f>
        <v>0</v>
      </c>
      <c r="J80" s="57" t="n">
        <f aca="false">IF(J5=Inputs!$D$17,J79,0)</f>
        <v>0</v>
      </c>
      <c r="K80" s="57" t="n">
        <f aca="false">IF(K5=Inputs!$D$17,K79,0)</f>
        <v>0</v>
      </c>
      <c r="L80" s="57" t="n">
        <f aca="false">IF(L5=Inputs!$D$17,L79,0)</f>
        <v>0</v>
      </c>
      <c r="M80" s="57" t="n">
        <f aca="false">IF(M5=Inputs!$D$17,M79,0)</f>
        <v>0</v>
      </c>
      <c r="N80" s="57" t="n">
        <f aca="false">IF(N5=Inputs!$D$17,N79,0)</f>
        <v>0</v>
      </c>
      <c r="O80" s="57" t="n">
        <f aca="false">IF(O5=Inputs!$D$17,O79,0)</f>
        <v>0</v>
      </c>
      <c r="P80" s="57" t="n">
        <f aca="false">IF(P5=Inputs!$D$17,P79,0)</f>
        <v>0</v>
      </c>
      <c r="Q80" s="57" t="n">
        <f aca="false">IF(Q5=Inputs!$D$17,Q79,0)</f>
        <v>0</v>
      </c>
      <c r="R80" s="57" t="n">
        <f aca="false">IF(R5=Inputs!$D$17,R79,0)</f>
        <v>0</v>
      </c>
      <c r="S80" s="57" t="n">
        <f aca="false">IF(S5=Inputs!$D$17,S79,0)</f>
        <v>0</v>
      </c>
      <c r="T80" s="57" t="n">
        <f aca="false">IF(T5=Inputs!$D$17,T79,0)</f>
        <v>0</v>
      </c>
      <c r="U80" s="57" t="n">
        <f aca="false">IF(U5=Inputs!$D$17,U79,0)</f>
        <v>0</v>
      </c>
      <c r="V80" s="57" t="n">
        <f aca="false">IF(V5=Inputs!$D$17,V79,0)</f>
        <v>0</v>
      </c>
      <c r="W80" s="57" t="n">
        <f aca="false">IF(W5=Inputs!$D$17,W79,0)</f>
        <v>0</v>
      </c>
      <c r="X80" s="57" t="n">
        <f aca="false">IF(X5=Inputs!$D$17,X79,0)</f>
        <v>0</v>
      </c>
      <c r="Y80" s="57" t="n">
        <f aca="false">IF(Y5=Inputs!$D$17,Y79,0)</f>
        <v>0</v>
      </c>
      <c r="Z80" s="57" t="n">
        <f aca="false">IF(Z5=Inputs!$D$17,Z79,0)</f>
        <v>0</v>
      </c>
      <c r="AA80" s="57" t="n">
        <f aca="false">IF(AA5=Inputs!$D$17,AA79,0)</f>
        <v>0</v>
      </c>
      <c r="AB80" s="57" t="n">
        <f aca="false">IF(AB5=Inputs!$D$17,AB79,0)</f>
        <v>0</v>
      </c>
      <c r="AC80" s="57" t="n">
        <f aca="false">IF(AC5=Inputs!$D$17,AC79,0)</f>
        <v>0</v>
      </c>
      <c r="AD80" s="57" t="n">
        <f aca="false">IF(AD5=Inputs!$D$17,AD79,0)</f>
        <v>0</v>
      </c>
    </row>
    <row r="81" customFormat="false" ht="15" hidden="false" customHeight="true" outlineLevel="0" collapsed="false">
      <c r="B81" s="4" t="s">
        <v>758</v>
      </c>
      <c r="C81" s="3" t="s">
        <v>297</v>
      </c>
      <c r="D81" s="59" t="n">
        <f aca="false">MAX(E81:AD81)</f>
        <v>13.8254593323758</v>
      </c>
      <c r="E81" s="57" t="n">
        <f aca="false">E79-E80</f>
        <v>0</v>
      </c>
      <c r="F81" s="57" t="n">
        <f aca="false">F79-F80</f>
        <v>0</v>
      </c>
      <c r="G81" s="57" t="n">
        <f aca="false">G79-G80</f>
        <v>0.711051596491576</v>
      </c>
      <c r="H81" s="57" t="n">
        <f aca="false">H79-H80</f>
        <v>1.38831030221989</v>
      </c>
      <c r="I81" s="57" t="n">
        <f aca="false">I79-I80</f>
        <v>2.03191128874799</v>
      </c>
      <c r="J81" s="57" t="n">
        <f aca="false">J79-J80</f>
        <v>2.64198918695268</v>
      </c>
      <c r="K81" s="57" t="n">
        <f aca="false">K79-K80</f>
        <v>3.21867808918725</v>
      </c>
      <c r="L81" s="57" t="n">
        <f aca="false">L79-L80</f>
        <v>3.76211155143559</v>
      </c>
      <c r="M81" s="57" t="n">
        <f aca="false">M79-M80</f>
        <v>4.27242259545763</v>
      </c>
      <c r="N81" s="57" t="n">
        <f aca="false">N79-N80</f>
        <v>4.74974371092626</v>
      </c>
      <c r="O81" s="57" t="n">
        <f aca="false">O79-O80</f>
        <v>13.8254593323758</v>
      </c>
      <c r="P81" s="57" t="n">
        <f aca="false">P79-P80</f>
        <v>0</v>
      </c>
      <c r="Q81" s="57" t="n">
        <f aca="false">Q79-Q80</f>
        <v>0</v>
      </c>
      <c r="R81" s="57" t="n">
        <f aca="false">R79-R80</f>
        <v>0</v>
      </c>
      <c r="S81" s="57" t="n">
        <f aca="false">S79-S80</f>
        <v>0</v>
      </c>
      <c r="T81" s="57" t="n">
        <f aca="false">T79-T80</f>
        <v>0</v>
      </c>
      <c r="U81" s="57" t="n">
        <f aca="false">U79-U80</f>
        <v>0</v>
      </c>
      <c r="V81" s="57" t="n">
        <f aca="false">V79-V80</f>
        <v>0</v>
      </c>
      <c r="W81" s="57" t="n">
        <f aca="false">W79-W80</f>
        <v>0</v>
      </c>
      <c r="X81" s="57" t="n">
        <f aca="false">X79-X80</f>
        <v>0</v>
      </c>
      <c r="Y81" s="57" t="n">
        <f aca="false">Y79-Y80</f>
        <v>0</v>
      </c>
      <c r="Z81" s="57" t="n">
        <f aca="false">Z79-Z80</f>
        <v>0</v>
      </c>
      <c r="AA81" s="57" t="n">
        <f aca="false">AA79-AA80</f>
        <v>0</v>
      </c>
      <c r="AB81" s="57" t="n">
        <f aca="false">AB79-AB80</f>
        <v>0</v>
      </c>
      <c r="AC81" s="57" t="n">
        <f aca="false">AC79-AC80</f>
        <v>0</v>
      </c>
      <c r="AD81" s="57" t="n">
        <f aca="false">AD79-AD80</f>
        <v>0</v>
      </c>
    </row>
    <row r="82" customFormat="false" ht="15" hidden="false" customHeight="true" outlineLevel="0" collapsed="false">
      <c r="B82" s="21" t="s">
        <v>759</v>
      </c>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row>
    <row r="83" customFormat="false" ht="15" hidden="false" customHeight="true" outlineLevel="0" collapsed="false">
      <c r="B83" s="40" t="s">
        <v>760</v>
      </c>
      <c r="C83" s="3" t="s">
        <v>297</v>
      </c>
      <c r="D83" s="59" t="n">
        <f aca="false">SUM(E83:AD83)</f>
        <v>341.01029973208</v>
      </c>
      <c r="E83" s="57" t="n">
        <f aca="false">E65+E69+E72+E77+E80</f>
        <v>0</v>
      </c>
      <c r="F83" s="57" t="n">
        <f aca="false">F65+F69+F72+F77+F80</f>
        <v>1.90879034875016</v>
      </c>
      <c r="G83" s="57" t="n">
        <f aca="false">G65+G69+G72+G77+G80</f>
        <v>6.66178647893981</v>
      </c>
      <c r="H83" s="57" t="n">
        <f aca="false">H65+H69+H72+H77+H80</f>
        <v>6.66178647893981</v>
      </c>
      <c r="I83" s="57" t="n">
        <f aca="false">I65+I69+I72+I77+I80</f>
        <v>6.66178647893981</v>
      </c>
      <c r="J83" s="57" t="n">
        <f aca="false">J65+J69+J72+J77+J80</f>
        <v>6.66178647893981</v>
      </c>
      <c r="K83" s="57" t="n">
        <f aca="false">K65+K69+K72+K77+K80</f>
        <v>6.66178647893981</v>
      </c>
      <c r="L83" s="57" t="n">
        <f aca="false">L65+L69+L72+L77+L80</f>
        <v>6.66178647893981</v>
      </c>
      <c r="M83" s="57" t="n">
        <f aca="false">M65+M69+M72+M77+M80</f>
        <v>6.66178647893981</v>
      </c>
      <c r="N83" s="57" t="n">
        <f aca="false">N65+N69+N72+N77+N80</f>
        <v>6.66178647893981</v>
      </c>
      <c r="O83" s="57" t="n">
        <f aca="false">O65+O69+O72+O77+O80</f>
        <v>6.66178647893981</v>
      </c>
      <c r="P83" s="57" t="n">
        <f aca="false">P65+P69+P72+P77+P80</f>
        <v>38.1197931299529</v>
      </c>
      <c r="Q83" s="57" t="n">
        <f aca="false">Q65+Q69+Q72+Q77+Q80</f>
        <v>12.4085164623868</v>
      </c>
      <c r="R83" s="57" t="n">
        <f aca="false">R65+R69+R72+R77+R80</f>
        <v>21.573496320953</v>
      </c>
      <c r="S83" s="57" t="n">
        <f aca="false">S65+S69+S72+S77+S80</f>
        <v>18.6499429714989</v>
      </c>
      <c r="T83" s="57" t="n">
        <f aca="false">T65+T69+T72+T77+T80</f>
        <v>18.2727209080465</v>
      </c>
      <c r="U83" s="57" t="n">
        <f aca="false">U65+U69+U72+U77+U80</f>
        <v>18.0124771755546</v>
      </c>
      <c r="V83" s="57" t="n">
        <f aca="false">V65+V69+V72+V77+V80</f>
        <v>17.8225560836165</v>
      </c>
      <c r="W83" s="57" t="n">
        <f aca="false">W65+W69+W72+W77+W80</f>
        <v>17.6749636754205</v>
      </c>
      <c r="X83" s="57" t="n">
        <f aca="false">X65+X69+X72+X77+X80</f>
        <v>17.5529030364819</v>
      </c>
      <c r="Y83" s="57" t="n">
        <f aca="false">Y65+Y69+Y72+Y77+Y80</f>
        <v>17.4462954798738</v>
      </c>
      <c r="Z83" s="57" t="n">
        <f aca="false">Z65+Z69+Z72+Z77+Z80</f>
        <v>17.349093257357</v>
      </c>
      <c r="AA83" s="57" t="n">
        <f aca="false">AA65+AA69+AA72+AA77+AA80</f>
        <v>17.2576671860492</v>
      </c>
      <c r="AB83" s="57" t="n">
        <f aca="false">AB65+AB69+AB72+AB77+AB80</f>
        <v>17.169839224418</v>
      </c>
      <c r="AC83" s="57" t="n">
        <f aca="false">AC65+AC69+AC72+AC77+AC80</f>
        <v>17.0843020178681</v>
      </c>
      <c r="AD83" s="57" t="n">
        <f aca="false">AD65+AD69+AD72+AD77+AD80</f>
        <v>12.750864143394</v>
      </c>
    </row>
    <row r="84" customFormat="false" ht="15" hidden="false" customHeight="true" outlineLevel="0" collapsed="false">
      <c r="B84" s="4" t="s">
        <v>761</v>
      </c>
      <c r="C84" s="3" t="s">
        <v>297</v>
      </c>
      <c r="D84" s="59" t="n">
        <f aca="false">SUM(E84:AD84)</f>
        <v>-64.339822496758</v>
      </c>
      <c r="E84" s="57" t="n">
        <f aca="false">-(E61+E63)</f>
        <v>-64.339822496758</v>
      </c>
      <c r="F84" s="57" t="n">
        <f aca="false">-(F61+F63)</f>
        <v>-0</v>
      </c>
      <c r="G84" s="57" t="n">
        <f aca="false">-(G61+G63)</f>
        <v>-0</v>
      </c>
      <c r="H84" s="57" t="n">
        <f aca="false">-(H61+H63)</f>
        <v>-0</v>
      </c>
      <c r="I84" s="57" t="n">
        <f aca="false">-(I61+I63)</f>
        <v>-0</v>
      </c>
      <c r="J84" s="57" t="n">
        <f aca="false">-(J61+J63)</f>
        <v>-0</v>
      </c>
      <c r="K84" s="57" t="n">
        <f aca="false">-(K61+K63)</f>
        <v>-0</v>
      </c>
      <c r="L84" s="57" t="n">
        <f aca="false">-(L61+L63)</f>
        <v>-0</v>
      </c>
      <c r="M84" s="57" t="n">
        <f aca="false">-(M61+M63)</f>
        <v>-0</v>
      </c>
      <c r="N84" s="57" t="n">
        <f aca="false">-(N61+N63)</f>
        <v>-0</v>
      </c>
      <c r="O84" s="57" t="n">
        <f aca="false">-(O61+O63)</f>
        <v>-0</v>
      </c>
      <c r="P84" s="57" t="n">
        <f aca="false">-(P61+P63)</f>
        <v>-0</v>
      </c>
      <c r="Q84" s="57" t="n">
        <f aca="false">-(Q61+Q63)</f>
        <v>-0</v>
      </c>
      <c r="R84" s="57" t="n">
        <f aca="false">-(R61+R63)</f>
        <v>-0</v>
      </c>
      <c r="S84" s="57" t="n">
        <f aca="false">-(S61+S63)</f>
        <v>-0</v>
      </c>
      <c r="T84" s="57" t="n">
        <f aca="false">-(T61+T63)</f>
        <v>-0</v>
      </c>
      <c r="U84" s="57" t="n">
        <f aca="false">-(U61+U63)</f>
        <v>-0</v>
      </c>
      <c r="V84" s="57" t="n">
        <f aca="false">-(V61+V63)</f>
        <v>-0</v>
      </c>
      <c r="W84" s="57" t="n">
        <f aca="false">-(W61+W63)</f>
        <v>-0</v>
      </c>
      <c r="X84" s="57" t="n">
        <f aca="false">-(X61+X63)</f>
        <v>-0</v>
      </c>
      <c r="Y84" s="57" t="n">
        <f aca="false">-(Y61+Y63)</f>
        <v>-0</v>
      </c>
      <c r="Z84" s="57" t="n">
        <f aca="false">-(Z61+Z63)</f>
        <v>-0</v>
      </c>
      <c r="AA84" s="57" t="n">
        <f aca="false">-(AA61+AA63)</f>
        <v>-0</v>
      </c>
      <c r="AB84" s="57" t="n">
        <f aca="false">-(AB61+AB63)</f>
        <v>-0</v>
      </c>
      <c r="AC84" s="57" t="n">
        <f aca="false">-(AC61+AC63)</f>
        <v>-0</v>
      </c>
      <c r="AD84" s="57" t="n">
        <f aca="false">-(AD61+AD63)</f>
        <v>-0</v>
      </c>
    </row>
    <row r="85" customFormat="false" ht="15" hidden="false" customHeight="true" outlineLevel="0" collapsed="false">
      <c r="B85" s="40" t="s">
        <v>762</v>
      </c>
      <c r="C85" s="3" t="s">
        <v>297</v>
      </c>
      <c r="D85" s="59" t="n">
        <f aca="false">SUM(E85:AD85)</f>
        <v>276.670477235322</v>
      </c>
      <c r="E85" s="57" t="n">
        <f aca="false">E83+E84</f>
        <v>-64.339822496758</v>
      </c>
      <c r="F85" s="57" t="n">
        <f aca="false">F83+F84</f>
        <v>1.90879034875016</v>
      </c>
      <c r="G85" s="57" t="n">
        <f aca="false">G83+G84</f>
        <v>6.66178647893981</v>
      </c>
      <c r="H85" s="57" t="n">
        <f aca="false">H83+H84</f>
        <v>6.66178647893981</v>
      </c>
      <c r="I85" s="57" t="n">
        <f aca="false">I83+I84</f>
        <v>6.66178647893981</v>
      </c>
      <c r="J85" s="57" t="n">
        <f aca="false">J83+J84</f>
        <v>6.66178647893981</v>
      </c>
      <c r="K85" s="57" t="n">
        <f aca="false">K83+K84</f>
        <v>6.66178647893981</v>
      </c>
      <c r="L85" s="57" t="n">
        <f aca="false">L83+L84</f>
        <v>6.66178647893981</v>
      </c>
      <c r="M85" s="57" t="n">
        <f aca="false">M83+M84</f>
        <v>6.66178647893981</v>
      </c>
      <c r="N85" s="57" t="n">
        <f aca="false">N83+N84</f>
        <v>6.66178647893981</v>
      </c>
      <c r="O85" s="57" t="n">
        <f aca="false">O83+O84</f>
        <v>6.66178647893981</v>
      </c>
      <c r="P85" s="57" t="n">
        <f aca="false">P83+P84</f>
        <v>38.1197931299529</v>
      </c>
      <c r="Q85" s="57" t="n">
        <f aca="false">Q83+Q84</f>
        <v>12.4085164623868</v>
      </c>
      <c r="R85" s="57" t="n">
        <f aca="false">R83+R84</f>
        <v>21.573496320953</v>
      </c>
      <c r="S85" s="57" t="n">
        <f aca="false">S83+S84</f>
        <v>18.6499429714989</v>
      </c>
      <c r="T85" s="57" t="n">
        <f aca="false">T83+T84</f>
        <v>18.2727209080465</v>
      </c>
      <c r="U85" s="57" t="n">
        <f aca="false">U83+U84</f>
        <v>18.0124771755546</v>
      </c>
      <c r="V85" s="57" t="n">
        <f aca="false">V83+V84</f>
        <v>17.8225560836165</v>
      </c>
      <c r="W85" s="57" t="n">
        <f aca="false">W83+W84</f>
        <v>17.6749636754205</v>
      </c>
      <c r="X85" s="57" t="n">
        <f aca="false">X83+X84</f>
        <v>17.5529030364819</v>
      </c>
      <c r="Y85" s="57" t="n">
        <f aca="false">Y83+Y84</f>
        <v>17.4462954798738</v>
      </c>
      <c r="Z85" s="57" t="n">
        <f aca="false">Z83+Z84</f>
        <v>17.349093257357</v>
      </c>
      <c r="AA85" s="57" t="n">
        <f aca="false">AA83+AA84</f>
        <v>17.2576671860492</v>
      </c>
      <c r="AB85" s="57" t="n">
        <f aca="false">AB83+AB84</f>
        <v>17.169839224418</v>
      </c>
      <c r="AC85" s="57" t="n">
        <f aca="false">AC83+AC84</f>
        <v>17.0843020178681</v>
      </c>
      <c r="AD85" s="57" t="n">
        <f aca="false">AD83+AD84</f>
        <v>12.750864143394</v>
      </c>
    </row>
    <row r="86" customFormat="false" ht="15" hidden="false" customHeight="true" outlineLevel="0" collapsed="false">
      <c r="B86" s="4" t="s">
        <v>763</v>
      </c>
      <c r="C86" s="3" t="s">
        <v>297</v>
      </c>
      <c r="D86" s="59" t="n">
        <f aca="false">SUM(E86:AD86)</f>
        <v>276.670477235322</v>
      </c>
      <c r="E86" s="57" t="n">
        <f aca="false">E57+E84</f>
        <v>-64.339822496758</v>
      </c>
      <c r="F86" s="57" t="n">
        <f aca="false">F57+F84</f>
        <v>1.90879034875016</v>
      </c>
      <c r="G86" s="57" t="n">
        <f aca="false">G57+G84</f>
        <v>7.37283807543139</v>
      </c>
      <c r="H86" s="57" t="n">
        <f aca="false">H57+H84</f>
        <v>7.33904518466813</v>
      </c>
      <c r="I86" s="57" t="n">
        <f aca="false">I57+I84</f>
        <v>7.30538746546791</v>
      </c>
      <c r="J86" s="57" t="n">
        <f aca="false">J57+J84</f>
        <v>7.2718643771445</v>
      </c>
      <c r="K86" s="57" t="n">
        <f aca="false">K57+K84</f>
        <v>7.23847538117438</v>
      </c>
      <c r="L86" s="57" t="n">
        <f aca="false">L57+L84</f>
        <v>7.20521994118815</v>
      </c>
      <c r="M86" s="57" t="n">
        <f aca="false">M57+M84</f>
        <v>7.17209752296186</v>
      </c>
      <c r="N86" s="57" t="n">
        <f aca="false">N57+N84</f>
        <v>7.13910759440845</v>
      </c>
      <c r="O86" s="57" t="n">
        <f aca="false">O57+O84</f>
        <v>15.7375021003893</v>
      </c>
      <c r="P86" s="57" t="n">
        <f aca="false">P57+P84</f>
        <v>24.2943337975771</v>
      </c>
      <c r="Q86" s="57" t="n">
        <f aca="false">Q57+Q84</f>
        <v>12.4085164623868</v>
      </c>
      <c r="R86" s="57" t="n">
        <f aca="false">R57+R84</f>
        <v>21.573496320953</v>
      </c>
      <c r="S86" s="57" t="n">
        <f aca="false">S57+S84</f>
        <v>18.6499429714989</v>
      </c>
      <c r="T86" s="57" t="n">
        <f aca="false">T57+T84</f>
        <v>18.2727209080465</v>
      </c>
      <c r="U86" s="57" t="n">
        <f aca="false">U57+U84</f>
        <v>18.0124771755546</v>
      </c>
      <c r="V86" s="57" t="n">
        <f aca="false">V57+V84</f>
        <v>17.8225560836165</v>
      </c>
      <c r="W86" s="57" t="n">
        <f aca="false">W57+W84</f>
        <v>17.6749636754205</v>
      </c>
      <c r="X86" s="57" t="n">
        <f aca="false">X57+X84</f>
        <v>17.5529030364819</v>
      </c>
      <c r="Y86" s="57" t="n">
        <f aca="false">Y57+Y84</f>
        <v>17.4462954798738</v>
      </c>
      <c r="Z86" s="57" t="n">
        <f aca="false">Z57+Z84</f>
        <v>17.349093257357</v>
      </c>
      <c r="AA86" s="57" t="n">
        <f aca="false">AA57+AA84</f>
        <v>17.2576671860492</v>
      </c>
      <c r="AB86" s="57" t="n">
        <f aca="false">AB57+AB84</f>
        <v>17.169839224418</v>
      </c>
      <c r="AC86" s="57" t="n">
        <f aca="false">AC57+AC84</f>
        <v>17.0843020178681</v>
      </c>
      <c r="AD86" s="57" t="n">
        <f aca="false">AD57+AD84</f>
        <v>12.750864143394</v>
      </c>
    </row>
    <row r="87" customFormat="false" ht="15" hidden="false" customHeight="true" outlineLevel="0" collapsed="false">
      <c r="B87" s="4" t="s">
        <v>764</v>
      </c>
      <c r="C87" s="3" t="s">
        <v>297</v>
      </c>
      <c r="D87" s="59" t="n">
        <f aca="false">SUM(E87:AD87)</f>
        <v>430.534722221507</v>
      </c>
      <c r="E87" s="57" t="n">
        <f aca="false">-'Sources &amp; Uses'!$D$11+E16</f>
        <v>-153.8957</v>
      </c>
      <c r="F87" s="57" t="n">
        <f aca="false">F16-F49</f>
        <v>25.4784</v>
      </c>
      <c r="G87" s="57" t="n">
        <f aca="false">G16-G49</f>
        <v>25.3578464</v>
      </c>
      <c r="H87" s="57" t="n">
        <f aca="false">H16-H49</f>
        <v>25.2377750144</v>
      </c>
      <c r="I87" s="57" t="n">
        <f aca="false">I16-I49</f>
        <v>25.1181839143424</v>
      </c>
      <c r="J87" s="57" t="n">
        <f aca="false">J16-J49</f>
        <v>24.999071178685</v>
      </c>
      <c r="K87" s="57" t="n">
        <f aca="false">K16-K49</f>
        <v>24.8804348939703</v>
      </c>
      <c r="L87" s="57" t="n">
        <f aca="false">L16-L49</f>
        <v>24.7622731543944</v>
      </c>
      <c r="M87" s="57" t="n">
        <f aca="false">M16-M49</f>
        <v>24.6445840617768</v>
      </c>
      <c r="N87" s="57" t="n">
        <f aca="false">N16-N49</f>
        <v>24.5273657255297</v>
      </c>
      <c r="O87" s="57" t="n">
        <f aca="false">O16-O49</f>
        <v>24.4106162626276</v>
      </c>
      <c r="P87" s="57" t="n">
        <f aca="false">P16-P49</f>
        <v>24.2943337975771</v>
      </c>
      <c r="Q87" s="57" t="n">
        <f aca="false">Q16-Q49</f>
        <v>12.4085164623868</v>
      </c>
      <c r="R87" s="57" t="n">
        <f aca="false">R16-R49</f>
        <v>24.0631623965372</v>
      </c>
      <c r="S87" s="57" t="n">
        <f aca="false">S16-S49</f>
        <v>23.9482697469511</v>
      </c>
      <c r="T87" s="57" t="n">
        <f aca="false">T16-T49</f>
        <v>23.8338366679633</v>
      </c>
      <c r="U87" s="57" t="n">
        <f aca="false">U16-U49</f>
        <v>23.7198613212914</v>
      </c>
      <c r="V87" s="57" t="n">
        <f aca="false">V16-V49</f>
        <v>23.6063418760063</v>
      </c>
      <c r="W87" s="57" t="n">
        <f aca="false">W16-W49</f>
        <v>23.4932765085022</v>
      </c>
      <c r="X87" s="57" t="n">
        <f aca="false">X16-X49</f>
        <v>23.3806634024682</v>
      </c>
      <c r="Y87" s="57" t="n">
        <f aca="false">Y16-Y49</f>
        <v>23.2685007488584</v>
      </c>
      <c r="Z87" s="57" t="n">
        <f aca="false">Z16-Z49</f>
        <v>23.1567867458629</v>
      </c>
      <c r="AA87" s="57" t="n">
        <f aca="false">AA16-AA49</f>
        <v>23.0455195988795</v>
      </c>
      <c r="AB87" s="57" t="n">
        <f aca="false">AB16-AB49</f>
        <v>22.934697520484</v>
      </c>
      <c r="AC87" s="57" t="n">
        <f aca="false">AC16-AC49</f>
        <v>22.824318730402</v>
      </c>
      <c r="AD87" s="57" t="n">
        <f aca="false">AD16-AD49</f>
        <v>17.0357860916103</v>
      </c>
    </row>
    <row r="89" customFormat="false" ht="15" hidden="false" customHeight="true" outlineLevel="0" collapsed="false">
      <c r="B89" s="21" t="s">
        <v>765</v>
      </c>
      <c r="C89" s="34"/>
      <c r="D89" s="34"/>
    </row>
    <row r="90" customFormat="false" ht="15" hidden="false" customHeight="true" outlineLevel="0" collapsed="false">
      <c r="B90" s="40" t="s">
        <v>766</v>
      </c>
      <c r="D90" s="47" t="n">
        <f aca="false">IRR(E85:AD85)</f>
        <v>0.139943605504676</v>
      </c>
    </row>
    <row r="91" customFormat="false" ht="15" hidden="false" customHeight="true" outlineLevel="0" collapsed="false">
      <c r="B91" s="40" t="s">
        <v>767</v>
      </c>
      <c r="D91" s="47" t="n">
        <f aca="false">IRR(E86:AD86)</f>
        <v>0.142923020411618</v>
      </c>
    </row>
    <row r="92" customFormat="false" ht="15" hidden="false" customHeight="true" outlineLevel="0" collapsed="false">
      <c r="B92" s="40" t="s">
        <v>768</v>
      </c>
      <c r="D92" s="47" t="n">
        <f aca="false">IRR(E87:AD87)</f>
        <v>0.154415074118947</v>
      </c>
    </row>
    <row r="93" customFormat="false" ht="15" hidden="false" customHeight="true" outlineLevel="0" collapsed="false">
      <c r="B93" s="40" t="s">
        <v>769</v>
      </c>
      <c r="D93" s="59" t="n">
        <f aca="false">E85+NPV(Inputs!$C$86,F85:AD85)</f>
        <v>-5.43670335881961</v>
      </c>
    </row>
    <row r="94" customFormat="false" ht="15" hidden="false" customHeight="true" outlineLevel="0" collapsed="false">
      <c r="B94" s="40" t="s">
        <v>770</v>
      </c>
      <c r="D94" s="44" t="n">
        <f aca="false">D83/-D84</f>
        <v>5.30014362021691</v>
      </c>
    </row>
    <row r="95" customFormat="false" ht="15" hidden="false" customHeight="true" outlineLevel="0" collapsed="false">
      <c r="B95" s="40" t="s">
        <v>42</v>
      </c>
      <c r="D95" s="59" t="n">
        <f aca="false">MAX(E81:AD81)</f>
        <v>13.8254593323758</v>
      </c>
    </row>
    <row r="96" customFormat="false" ht="15" hidden="false" customHeight="true" outlineLevel="0" collapsed="false">
      <c r="B96" s="40" t="s">
        <v>771</v>
      </c>
      <c r="D96" s="44" t="n">
        <f aca="false">AVERAGE(F31:AD31)</f>
        <v>1.40686515010054</v>
      </c>
    </row>
    <row r="98" customFormat="false" ht="15" hidden="false" customHeight="true" outlineLevel="0" collapsed="false">
      <c r="B98" s="21" t="s">
        <v>772</v>
      </c>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row>
    <row r="99" customFormat="false" ht="15" hidden="false" customHeight="true" outlineLevel="0" collapsed="false">
      <c r="B99" s="4" t="s">
        <v>773</v>
      </c>
      <c r="C99" s="3" t="s">
        <v>297</v>
      </c>
      <c r="E99" s="57" t="n">
        <f aca="false">E37+E56+E81</f>
        <v>171.092999271323</v>
      </c>
      <c r="F99" s="57" t="n">
        <f aca="false">F37+F56+F81</f>
        <v>161.12250077103</v>
      </c>
      <c r="G99" s="57" t="n">
        <f aca="false">G37+G56+G81</f>
        <v>146.365251132548</v>
      </c>
      <c r="H99" s="57" t="n">
        <f aca="false">H37+H56+H81</f>
        <v>131.574381506097</v>
      </c>
      <c r="I99" s="57" t="n">
        <f aca="false">I37+I56+I81</f>
        <v>116.75002637163</v>
      </c>
      <c r="J99" s="57" t="n">
        <f aca="false">J37+J56+J81</f>
        <v>107.890960157463</v>
      </c>
      <c r="K99" s="57" t="n">
        <f aca="false">K37+K56+K81</f>
        <v>98.998675783576</v>
      </c>
      <c r="L99" s="57" t="n">
        <f aca="false">L37+L56+L81</f>
        <v>90.0733061226075</v>
      </c>
      <c r="M99" s="57" t="n">
        <f aca="false">M37+M56+M81</f>
        <v>81.1149835157061</v>
      </c>
      <c r="N99" s="57" t="n">
        <f aca="false">N37+N56+N81</f>
        <v>72.1238397746555</v>
      </c>
      <c r="O99" s="57" t="n">
        <f aca="false">O37+O56+O81</f>
        <v>63.1000061839923</v>
      </c>
      <c r="P99" s="57" t="n">
        <f aca="false">P37+P56+P81</f>
        <v>39.8481118017421</v>
      </c>
      <c r="Q99" s="57" t="n">
        <f aca="false">Q37+Q56+Q81</f>
        <v>30.4216767518676</v>
      </c>
      <c r="R99" s="57" t="n">
        <f aca="false">R37+R56+R81</f>
        <v>20.9952417019931</v>
      </c>
      <c r="S99" s="57" t="n">
        <f aca="false">S37+S56+S81</f>
        <v>11.5688066521186</v>
      </c>
      <c r="T99" s="57" t="n">
        <f aca="false">T37+T56+T81</f>
        <v>2.14237160224417</v>
      </c>
      <c r="U99" s="57" t="n">
        <f aca="false">U37+U56+U81</f>
        <v>0</v>
      </c>
      <c r="V99" s="57" t="n">
        <f aca="false">V37+V56+V81</f>
        <v>0</v>
      </c>
      <c r="W99" s="57" t="n">
        <f aca="false">W37+W56+W81</f>
        <v>0</v>
      </c>
      <c r="X99" s="57" t="n">
        <f aca="false">X37+X56+X81</f>
        <v>0</v>
      </c>
      <c r="Y99" s="57" t="n">
        <f aca="false">Y37+Y56+Y81</f>
        <v>0</v>
      </c>
      <c r="Z99" s="57" t="n">
        <f aca="false">Z37+Z56+Z81</f>
        <v>0</v>
      </c>
      <c r="AA99" s="57" t="n">
        <f aca="false">AA37+AA56+AA81</f>
        <v>0</v>
      </c>
      <c r="AB99" s="57" t="n">
        <f aca="false">AB37+AB56+AB81</f>
        <v>0</v>
      </c>
      <c r="AC99" s="57" t="n">
        <f aca="false">AC37+AC56+AC81</f>
        <v>0</v>
      </c>
      <c r="AD99" s="57" t="n">
        <f aca="false">AD37+AD56+AD81</f>
        <v>0</v>
      </c>
    </row>
    <row r="100" customFormat="false" ht="15" hidden="false" customHeight="true" outlineLevel="0" collapsed="false">
      <c r="B100" s="4" t="s">
        <v>774</v>
      </c>
      <c r="C100" s="3" t="s">
        <v>297</v>
      </c>
      <c r="E100" s="57" t="n">
        <f aca="false">E29+E74</f>
        <v>158.321046462464</v>
      </c>
      <c r="F100" s="57" t="n">
        <f aca="false">F29+F74</f>
        <v>155.690000488583</v>
      </c>
      <c r="G100" s="57" t="n">
        <f aca="false">G29+G74</f>
        <v>148.180153347428</v>
      </c>
      <c r="H100" s="57" t="n">
        <f aca="false">H29+H74</f>
        <v>139.968223654083</v>
      </c>
      <c r="I100" s="57" t="n">
        <f aca="false">I29+I74</f>
        <v>130.980146934978</v>
      </c>
      <c r="J100" s="57" t="n">
        <f aca="false">J29+J74</f>
        <v>121.13408333004</v>
      </c>
      <c r="K100" s="57" t="n">
        <f aca="false">K29+K74</f>
        <v>110.339601171579</v>
      </c>
      <c r="L100" s="57" t="n">
        <f aca="false">L29+L74</f>
        <v>98.4967748389738</v>
      </c>
      <c r="M100" s="57" t="n">
        <f aca="false">M29+M74</f>
        <v>85.4951878881298</v>
      </c>
      <c r="N100" s="57" t="n">
        <f aca="false">N29+N74</f>
        <v>71.2128315095451</v>
      </c>
      <c r="O100" s="57" t="n">
        <f aca="false">O29+O74</f>
        <v>0</v>
      </c>
      <c r="P100" s="57" t="n">
        <f aca="false">P29+P74</f>
        <v>0</v>
      </c>
      <c r="Q100" s="57" t="n">
        <f aca="false">Q29+Q74</f>
        <v>0</v>
      </c>
      <c r="R100" s="57" t="n">
        <f aca="false">R29+R74</f>
        <v>0</v>
      </c>
      <c r="S100" s="57" t="n">
        <f aca="false">S29+S74</f>
        <v>0</v>
      </c>
      <c r="T100" s="57" t="n">
        <f aca="false">T29+T74</f>
        <v>0</v>
      </c>
      <c r="U100" s="57" t="n">
        <f aca="false">U29+U74</f>
        <v>0</v>
      </c>
      <c r="V100" s="57" t="n">
        <f aca="false">V29+V74</f>
        <v>0</v>
      </c>
      <c r="W100" s="57" t="n">
        <f aca="false">W29+W74</f>
        <v>0</v>
      </c>
      <c r="X100" s="57" t="n">
        <f aca="false">X29+X74</f>
        <v>0</v>
      </c>
      <c r="Y100" s="57" t="n">
        <f aca="false">Y29+Y74</f>
        <v>0</v>
      </c>
      <c r="Z100" s="57" t="n">
        <f aca="false">Z29+Z74</f>
        <v>0</v>
      </c>
      <c r="AA100" s="57" t="n">
        <f aca="false">AA29+AA74</f>
        <v>0</v>
      </c>
      <c r="AB100" s="57" t="n">
        <f aca="false">AB29+AB74</f>
        <v>0</v>
      </c>
      <c r="AC100" s="57" t="n">
        <f aca="false">AC29+AC74</f>
        <v>0</v>
      </c>
      <c r="AD100" s="57" t="n">
        <f aca="false">AD29+AD74</f>
        <v>0</v>
      </c>
    </row>
    <row r="101" customFormat="false" ht="15" hidden="false" customHeight="true" outlineLevel="0" collapsed="false">
      <c r="B101" s="4" t="s">
        <v>775</v>
      </c>
      <c r="C101" s="3" t="s">
        <v>297</v>
      </c>
      <c r="E101" s="57" t="n">
        <f aca="false">E78+E70</f>
        <v>12.7719528088593</v>
      </c>
      <c r="F101" s="57" t="n">
        <f aca="false">F78+F70</f>
        <v>5.43250028244701</v>
      </c>
      <c r="G101" s="57" t="n">
        <f aca="false">G78+G70</f>
        <v>-1.81490221487994</v>
      </c>
      <c r="H101" s="57" t="n">
        <f aca="false">H78+H70</f>
        <v>-8.39384214798553</v>
      </c>
      <c r="I101" s="57" t="n">
        <f aca="false">I78+I70</f>
        <v>-14.2301205633475</v>
      </c>
      <c r="J101" s="57" t="n">
        <f aca="false">J78+J70</f>
        <v>-13.2431231725771</v>
      </c>
      <c r="K101" s="57" t="n">
        <f aca="false">K78+K70</f>
        <v>-11.340925388003</v>
      </c>
      <c r="L101" s="57" t="n">
        <f aca="false">L78+L70</f>
        <v>-8.4234687163663</v>
      </c>
      <c r="M101" s="57" t="n">
        <f aca="false">M78+M70</f>
        <v>-4.38020437242367</v>
      </c>
      <c r="N101" s="57" t="n">
        <f aca="false">N78+N70</f>
        <v>0.911008265110482</v>
      </c>
      <c r="O101" s="57" t="n">
        <f aca="false">O78+O70</f>
        <v>63.1000061839924</v>
      </c>
      <c r="P101" s="57" t="n">
        <f aca="false">P78+P70</f>
        <v>39.8481118017421</v>
      </c>
      <c r="Q101" s="57" t="n">
        <f aca="false">Q78+Q70</f>
        <v>30.4216767518676</v>
      </c>
      <c r="R101" s="57" t="n">
        <f aca="false">R78+R70</f>
        <v>20.9952417019932</v>
      </c>
      <c r="S101" s="57" t="n">
        <f aca="false">S78+S70</f>
        <v>11.5688066521187</v>
      </c>
      <c r="T101" s="57" t="n">
        <f aca="false">T78+T70</f>
        <v>2.14237160224422</v>
      </c>
      <c r="U101" s="57" t="n">
        <f aca="false">U78+U70</f>
        <v>4.79616346638068E-014</v>
      </c>
      <c r="V101" s="57" t="n">
        <f aca="false">V78+V70</f>
        <v>4.79616346638068E-014</v>
      </c>
      <c r="W101" s="57" t="n">
        <f aca="false">W78+W70</f>
        <v>4.79616346638068E-014</v>
      </c>
      <c r="X101" s="57" t="n">
        <f aca="false">X78+X70</f>
        <v>4.79616346638068E-014</v>
      </c>
      <c r="Y101" s="57" t="n">
        <f aca="false">Y78+Y70</f>
        <v>4.79616346638068E-014</v>
      </c>
      <c r="Z101" s="57" t="n">
        <f aca="false">Z78+Z70</f>
        <v>4.79616346638068E-014</v>
      </c>
      <c r="AA101" s="57" t="n">
        <f aca="false">AA78+AA70</f>
        <v>4.79616346638068E-014</v>
      </c>
      <c r="AB101" s="57" t="n">
        <f aca="false">AB78+AB70</f>
        <v>4.79616346638068E-014</v>
      </c>
      <c r="AC101" s="57" t="n">
        <f aca="false">AC78+AC70</f>
        <v>4.79616346638068E-014</v>
      </c>
      <c r="AD101" s="57" t="n">
        <f aca="false">AD78+AD70</f>
        <v>4.79616346638068E-014</v>
      </c>
    </row>
    <row r="102" customFormat="false" ht="15" hidden="false" customHeight="true" outlineLevel="0" collapsed="false">
      <c r="B102" s="4" t="s">
        <v>776</v>
      </c>
      <c r="C102" s="3" t="s">
        <v>297</v>
      </c>
      <c r="D102" s="59" t="n">
        <f aca="false">SUMPRODUCT(ABS(E102:AD102))</f>
        <v>7.31859017832903E-013</v>
      </c>
      <c r="E102" s="57" t="n">
        <f aca="false">E99-E100-E101</f>
        <v>0</v>
      </c>
      <c r="F102" s="57" t="n">
        <f aca="false">F99-F100-F101</f>
        <v>0</v>
      </c>
      <c r="G102" s="57" t="n">
        <f aca="false">G99-G100-G101</f>
        <v>0</v>
      </c>
      <c r="H102" s="57" t="n">
        <f aca="false">H99-H100-H101</f>
        <v>-3.19744231092045E-014</v>
      </c>
      <c r="I102" s="57" t="n">
        <f aca="false">I99-I100-I101</f>
        <v>0</v>
      </c>
      <c r="J102" s="57" t="n">
        <f aca="false">J99-J100-J101</f>
        <v>0</v>
      </c>
      <c r="K102" s="57" t="n">
        <f aca="false">K99-K100-K101</f>
        <v>0</v>
      </c>
      <c r="L102" s="57" t="n">
        <f aca="false">L99-L100-L101</f>
        <v>-4.2632564145606E-014</v>
      </c>
      <c r="M102" s="57" t="n">
        <f aca="false">M99-M100-M101</f>
        <v>-3.90798504668055E-014</v>
      </c>
      <c r="N102" s="57" t="n">
        <f aca="false">N99-N100-N101</f>
        <v>-4.2632564145606E-014</v>
      </c>
      <c r="O102" s="57" t="n">
        <f aca="false">O99-O100-O101</f>
        <v>0</v>
      </c>
      <c r="P102" s="57" t="n">
        <f aca="false">P99-P100-P101</f>
        <v>0</v>
      </c>
      <c r="Q102" s="57" t="n">
        <f aca="false">Q99-Q100-Q101</f>
        <v>0</v>
      </c>
      <c r="R102" s="57" t="n">
        <f aca="false">R99-R100-R101</f>
        <v>0</v>
      </c>
      <c r="S102" s="57" t="n">
        <f aca="false">S99-S100-S101</f>
        <v>-4.79616346638068E-014</v>
      </c>
      <c r="T102" s="57" t="n">
        <f aca="false">T99-T100-T101</f>
        <v>-4.79616346638068E-014</v>
      </c>
      <c r="U102" s="57" t="n">
        <f aca="false">U99-U100-U101</f>
        <v>-4.79616346638068E-014</v>
      </c>
      <c r="V102" s="57" t="n">
        <f aca="false">V99-V100-V101</f>
        <v>-4.79616346638068E-014</v>
      </c>
      <c r="W102" s="57" t="n">
        <f aca="false">W99-W100-W101</f>
        <v>-4.79616346638068E-014</v>
      </c>
      <c r="X102" s="57" t="n">
        <f aca="false">X99-X100-X101</f>
        <v>-4.79616346638068E-014</v>
      </c>
      <c r="Y102" s="57" t="n">
        <f aca="false">Y99-Y100-Y101</f>
        <v>-4.79616346638068E-014</v>
      </c>
      <c r="Z102" s="57" t="n">
        <f aca="false">Z99-Z100-Z101</f>
        <v>-4.79616346638068E-014</v>
      </c>
      <c r="AA102" s="57" t="n">
        <f aca="false">AA99-AA100-AA101</f>
        <v>-4.79616346638068E-014</v>
      </c>
      <c r="AB102" s="57" t="n">
        <f aca="false">AB99-AB100-AB101</f>
        <v>-4.79616346638068E-014</v>
      </c>
      <c r="AC102" s="57" t="n">
        <f aca="false">AC99-AC100-AC101</f>
        <v>-4.79616346638068E-014</v>
      </c>
      <c r="AD102" s="57" t="n">
        <f aca="false">AD99-AD100-AD101</f>
        <v>-4.79616346638068E-014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H1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6"/>
    <col collapsed="false" customWidth="true" hidden="false" outlineLevel="0" max="4" min="4" style="1" width="12"/>
    <col collapsed="false" customWidth="true" hidden="false" outlineLevel="0" max="34" min="5" style="1" width="9.52"/>
  </cols>
  <sheetData>
    <row r="1" customFormat="false" ht="17.25" hidden="false" customHeight="true" outlineLevel="0" collapsed="false">
      <c r="B1" s="2" t="s">
        <v>778</v>
      </c>
    </row>
    <row r="2" customFormat="false" ht="15" hidden="false" customHeight="true" outlineLevel="0" collapsed="false">
      <c r="B2" s="3" t="s">
        <v>779</v>
      </c>
    </row>
    <row r="4" customFormat="false" ht="15" hidden="false" customHeight="true" outlineLevel="0" collapsed="false">
      <c r="B4" s="21" t="s">
        <v>683</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row>
    <row r="5" customFormat="false" ht="15" hidden="false" customHeight="true" outlineLevel="0" collapsed="false">
      <c r="B5" s="4" t="s">
        <v>394</v>
      </c>
      <c r="D5" s="40" t="s">
        <v>652</v>
      </c>
      <c r="E5" s="63" t="n">
        <f aca="false">Inputs!$C$75</f>
        <v>2027</v>
      </c>
      <c r="F5" s="63" t="n">
        <f aca="false">E5+1</f>
        <v>2028</v>
      </c>
      <c r="G5" s="63" t="n">
        <f aca="false">F5+1</f>
        <v>2029</v>
      </c>
      <c r="H5" s="63" t="n">
        <f aca="false">G5+1</f>
        <v>2030</v>
      </c>
      <c r="I5" s="63" t="n">
        <f aca="false">H5+1</f>
        <v>2031</v>
      </c>
      <c r="J5" s="63" t="n">
        <f aca="false">I5+1</f>
        <v>2032</v>
      </c>
      <c r="K5" s="63" t="n">
        <f aca="false">J5+1</f>
        <v>2033</v>
      </c>
      <c r="L5" s="63" t="n">
        <f aca="false">K5+1</f>
        <v>2034</v>
      </c>
      <c r="M5" s="63" t="n">
        <f aca="false">L5+1</f>
        <v>2035</v>
      </c>
      <c r="N5" s="63" t="n">
        <f aca="false">M5+1</f>
        <v>2036</v>
      </c>
      <c r="O5" s="63" t="n">
        <f aca="false">N5+1</f>
        <v>2037</v>
      </c>
      <c r="P5" s="63" t="n">
        <f aca="false">O5+1</f>
        <v>2038</v>
      </c>
      <c r="Q5" s="63" t="n">
        <f aca="false">P5+1</f>
        <v>2039</v>
      </c>
      <c r="R5" s="63" t="n">
        <f aca="false">Q5+1</f>
        <v>2040</v>
      </c>
      <c r="S5" s="63" t="n">
        <f aca="false">R5+1</f>
        <v>2041</v>
      </c>
      <c r="T5" s="63" t="n">
        <f aca="false">S5+1</f>
        <v>2042</v>
      </c>
      <c r="U5" s="63" t="n">
        <f aca="false">T5+1</f>
        <v>2043</v>
      </c>
      <c r="V5" s="63" t="n">
        <f aca="false">U5+1</f>
        <v>2044</v>
      </c>
      <c r="W5" s="63" t="n">
        <f aca="false">V5+1</f>
        <v>2045</v>
      </c>
      <c r="X5" s="63" t="n">
        <f aca="false">W5+1</f>
        <v>2046</v>
      </c>
      <c r="Y5" s="63" t="n">
        <f aca="false">X5+1</f>
        <v>2047</v>
      </c>
      <c r="Z5" s="63" t="n">
        <f aca="false">Y5+1</f>
        <v>2048</v>
      </c>
      <c r="AA5" s="63" t="n">
        <f aca="false">Z5+1</f>
        <v>2049</v>
      </c>
      <c r="AB5" s="63" t="n">
        <f aca="false">AA5+1</f>
        <v>2050</v>
      </c>
      <c r="AC5" s="63" t="n">
        <f aca="false">AB5+1</f>
        <v>2051</v>
      </c>
      <c r="AD5" s="63" t="n">
        <f aca="false">AC5+1</f>
        <v>2052</v>
      </c>
      <c r="AE5" s="63" t="n">
        <f aca="false">AD5+1</f>
        <v>2053</v>
      </c>
      <c r="AF5" s="63" t="n">
        <f aca="false">AE5+1</f>
        <v>2054</v>
      </c>
      <c r="AG5" s="63" t="n">
        <f aca="false">AF5+1</f>
        <v>2055</v>
      </c>
      <c r="AH5" s="63" t="n">
        <f aca="false">AG5+1</f>
        <v>2056</v>
      </c>
    </row>
    <row r="6" customFormat="false" ht="15" hidden="false" customHeight="true" outlineLevel="0" collapsed="false">
      <c r="B6" s="4" t="s">
        <v>780</v>
      </c>
      <c r="E6" s="24" t="n">
        <f aca="false">IF(E5=MAX(Inputs!$C$7+Inputs!$C$17,Inputs!$D$7+Inputs!$D$17),1,0)</f>
        <v>0</v>
      </c>
      <c r="F6" s="24" t="n">
        <f aca="false">IF(F5=MAX(Inputs!$C$7+Inputs!$C$17,Inputs!$D$7+Inputs!$D$17),1,0)</f>
        <v>0</v>
      </c>
      <c r="G6" s="24" t="n">
        <f aca="false">IF(G5=MAX(Inputs!$C$7+Inputs!$C$17,Inputs!$D$7+Inputs!$D$17),1,0)</f>
        <v>0</v>
      </c>
      <c r="H6" s="24" t="n">
        <f aca="false">IF(H5=MAX(Inputs!$C$7+Inputs!$C$17,Inputs!$D$7+Inputs!$D$17),1,0)</f>
        <v>0</v>
      </c>
      <c r="I6" s="24" t="n">
        <f aca="false">IF(I5=MAX(Inputs!$C$7+Inputs!$C$17,Inputs!$D$7+Inputs!$D$17),1,0)</f>
        <v>0</v>
      </c>
      <c r="J6" s="24" t="n">
        <f aca="false">IF(J5=MAX(Inputs!$C$7+Inputs!$C$17,Inputs!$D$7+Inputs!$D$17),1,0)</f>
        <v>0</v>
      </c>
      <c r="K6" s="24" t="n">
        <f aca="false">IF(K5=MAX(Inputs!$C$7+Inputs!$C$17,Inputs!$D$7+Inputs!$D$17),1,0)</f>
        <v>0</v>
      </c>
      <c r="L6" s="24" t="n">
        <f aca="false">IF(L5=MAX(Inputs!$C$7+Inputs!$C$17,Inputs!$D$7+Inputs!$D$17),1,0)</f>
        <v>0</v>
      </c>
      <c r="M6" s="24" t="n">
        <f aca="false">IF(M5=MAX(Inputs!$C$7+Inputs!$C$17,Inputs!$D$7+Inputs!$D$17),1,0)</f>
        <v>0</v>
      </c>
      <c r="N6" s="24" t="n">
        <f aca="false">IF(N5=MAX(Inputs!$C$7+Inputs!$C$17,Inputs!$D$7+Inputs!$D$17),1,0)</f>
        <v>0</v>
      </c>
      <c r="O6" s="24" t="n">
        <f aca="false">IF(O5=MAX(Inputs!$C$7+Inputs!$C$17,Inputs!$D$7+Inputs!$D$17),1,0)</f>
        <v>0</v>
      </c>
      <c r="P6" s="24" t="n">
        <f aca="false">IF(P5=MAX(Inputs!$C$7+Inputs!$C$17,Inputs!$D$7+Inputs!$D$17),1,0)</f>
        <v>0</v>
      </c>
      <c r="Q6" s="24" t="n">
        <f aca="false">IF(Q5=MAX(Inputs!$C$7+Inputs!$C$17,Inputs!$D$7+Inputs!$D$17),1,0)</f>
        <v>0</v>
      </c>
      <c r="R6" s="24" t="n">
        <f aca="false">IF(R5=MAX(Inputs!$C$7+Inputs!$C$17,Inputs!$D$7+Inputs!$D$17),1,0)</f>
        <v>0</v>
      </c>
      <c r="S6" s="24" t="n">
        <f aca="false">IF(S5=MAX(Inputs!$C$7+Inputs!$C$17,Inputs!$D$7+Inputs!$D$17),1,0)</f>
        <v>0</v>
      </c>
      <c r="T6" s="24" t="n">
        <f aca="false">IF(T5=MAX(Inputs!$C$7+Inputs!$C$17,Inputs!$D$7+Inputs!$D$17),1,0)</f>
        <v>0</v>
      </c>
      <c r="U6" s="24" t="n">
        <f aca="false">IF(U5=MAX(Inputs!$C$7+Inputs!$C$17,Inputs!$D$7+Inputs!$D$17),1,0)</f>
        <v>0</v>
      </c>
      <c r="V6" s="24" t="n">
        <f aca="false">IF(V5=MAX(Inputs!$C$7+Inputs!$C$17,Inputs!$D$7+Inputs!$D$17),1,0)</f>
        <v>0</v>
      </c>
      <c r="W6" s="24" t="n">
        <f aca="false">IF(W5=MAX(Inputs!$C$7+Inputs!$C$17,Inputs!$D$7+Inputs!$D$17),1,0)</f>
        <v>0</v>
      </c>
      <c r="X6" s="24" t="n">
        <f aca="false">IF(X5=MAX(Inputs!$C$7+Inputs!$C$17,Inputs!$D$7+Inputs!$D$17),1,0)</f>
        <v>0</v>
      </c>
      <c r="Y6" s="24" t="n">
        <f aca="false">IF(Y5=MAX(Inputs!$C$7+Inputs!$C$17,Inputs!$D$7+Inputs!$D$17),1,0)</f>
        <v>0</v>
      </c>
      <c r="Z6" s="24" t="n">
        <f aca="false">IF(Z5=MAX(Inputs!$C$7+Inputs!$C$17,Inputs!$D$7+Inputs!$D$17),1,0)</f>
        <v>0</v>
      </c>
      <c r="AA6" s="24" t="n">
        <f aca="false">IF(AA5=MAX(Inputs!$C$7+Inputs!$C$17,Inputs!$D$7+Inputs!$D$17),1,0)</f>
        <v>0</v>
      </c>
      <c r="AB6" s="24" t="n">
        <f aca="false">IF(AB5=MAX(Inputs!$C$7+Inputs!$C$17,Inputs!$D$7+Inputs!$D$17),1,0)</f>
        <v>0</v>
      </c>
      <c r="AC6" s="24" t="n">
        <f aca="false">IF(AC5=MAX(Inputs!$C$7+Inputs!$C$17,Inputs!$D$7+Inputs!$D$17),1,0)</f>
        <v>0</v>
      </c>
      <c r="AD6" s="24" t="n">
        <f aca="false">IF(AD5=MAX(Inputs!$C$7+Inputs!$C$17,Inputs!$D$7+Inputs!$D$17),1,0)</f>
        <v>0</v>
      </c>
      <c r="AE6" s="24" t="n">
        <f aca="false">IF(AE5=MAX(Inputs!$C$7+Inputs!$C$17,Inputs!$D$7+Inputs!$D$17),1,0)</f>
        <v>0</v>
      </c>
      <c r="AF6" s="24" t="n">
        <f aca="false">IF(AF5=MAX(Inputs!$C$7+Inputs!$C$17,Inputs!$D$7+Inputs!$D$17),1,0)</f>
        <v>1</v>
      </c>
      <c r="AG6" s="24" t="n">
        <f aca="false">IF(AG5=MAX(Inputs!$C$7+Inputs!$C$17,Inputs!$D$7+Inputs!$D$17),1,0)</f>
        <v>0</v>
      </c>
      <c r="AH6" s="24" t="n">
        <f aca="false">IF(AH5=MAX(Inputs!$C$7+Inputs!$C$17,Inputs!$D$7+Inputs!$D$17),1,0)</f>
        <v>0</v>
      </c>
    </row>
    <row r="7" customFormat="false" ht="15" hidden="false" customHeight="true" outlineLevel="0" collapsed="false">
      <c r="B7" s="21" t="s">
        <v>781</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row>
    <row r="8" customFormat="false" ht="15" hidden="false" customHeight="true" outlineLevel="0" collapsed="false">
      <c r="B8" s="4" t="s">
        <v>782</v>
      </c>
      <c r="D8" s="59" t="n">
        <f aca="false">SUM(E8:AH8)</f>
        <v>4.2449948407357</v>
      </c>
      <c r="E8" s="57" t="n">
        <f aca="false">IF(E5=Inputs!$C$7,'Sources &amp; Uses'!$C$31,0)</f>
        <v>0</v>
      </c>
      <c r="F8" s="57" t="n">
        <f aca="false">IF(F5=Inputs!$C$7,'Sources &amp; Uses'!$C$31,0)</f>
        <v>4.2449948407357</v>
      </c>
      <c r="G8" s="57" t="n">
        <f aca="false">IF(G5=Inputs!$C$7,'Sources &amp; Uses'!$C$31,0)</f>
        <v>0</v>
      </c>
      <c r="H8" s="57" t="n">
        <f aca="false">IF(H5=Inputs!$C$7,'Sources &amp; Uses'!$C$31,0)</f>
        <v>0</v>
      </c>
      <c r="I8" s="57" t="n">
        <f aca="false">IF(I5=Inputs!$C$7,'Sources &amp; Uses'!$C$31,0)</f>
        <v>0</v>
      </c>
      <c r="J8" s="57" t="n">
        <f aca="false">IF(J5=Inputs!$C$7,'Sources &amp; Uses'!$C$31,0)</f>
        <v>0</v>
      </c>
      <c r="K8" s="57" t="n">
        <f aca="false">IF(K5=Inputs!$C$7,'Sources &amp; Uses'!$C$31,0)</f>
        <v>0</v>
      </c>
      <c r="L8" s="57" t="n">
        <f aca="false">IF(L5=Inputs!$C$7,'Sources &amp; Uses'!$C$31,0)</f>
        <v>0</v>
      </c>
      <c r="M8" s="57" t="n">
        <f aca="false">IF(M5=Inputs!$C$7,'Sources &amp; Uses'!$C$31,0)</f>
        <v>0</v>
      </c>
      <c r="N8" s="57" t="n">
        <f aca="false">IF(N5=Inputs!$C$7,'Sources &amp; Uses'!$C$31,0)</f>
        <v>0</v>
      </c>
      <c r="O8" s="57" t="n">
        <f aca="false">IF(O5=Inputs!$C$7,'Sources &amp; Uses'!$C$31,0)</f>
        <v>0</v>
      </c>
      <c r="P8" s="57" t="n">
        <f aca="false">IF(P5=Inputs!$C$7,'Sources &amp; Uses'!$C$31,0)</f>
        <v>0</v>
      </c>
      <c r="Q8" s="57" t="n">
        <f aca="false">IF(Q5=Inputs!$C$7,'Sources &amp; Uses'!$C$31,0)</f>
        <v>0</v>
      </c>
      <c r="R8" s="57" t="n">
        <f aca="false">IF(R5=Inputs!$C$7,'Sources &amp; Uses'!$C$31,0)</f>
        <v>0</v>
      </c>
      <c r="S8" s="57" t="n">
        <f aca="false">IF(S5=Inputs!$C$7,'Sources &amp; Uses'!$C$31,0)</f>
        <v>0</v>
      </c>
      <c r="T8" s="57" t="n">
        <f aca="false">IF(T5=Inputs!$C$7,'Sources &amp; Uses'!$C$31,0)</f>
        <v>0</v>
      </c>
      <c r="U8" s="57" t="n">
        <f aca="false">IF(U5=Inputs!$C$7,'Sources &amp; Uses'!$C$31,0)</f>
        <v>0</v>
      </c>
      <c r="V8" s="57" t="n">
        <f aca="false">IF(V5=Inputs!$C$7,'Sources &amp; Uses'!$C$31,0)</f>
        <v>0</v>
      </c>
      <c r="W8" s="57" t="n">
        <f aca="false">IF(W5=Inputs!$C$7,'Sources &amp; Uses'!$C$31,0)</f>
        <v>0</v>
      </c>
      <c r="X8" s="57" t="n">
        <f aca="false">IF(X5=Inputs!$C$7,'Sources &amp; Uses'!$C$31,0)</f>
        <v>0</v>
      </c>
      <c r="Y8" s="57" t="n">
        <f aca="false">IF(Y5=Inputs!$C$7,'Sources &amp; Uses'!$C$31,0)</f>
        <v>0</v>
      </c>
      <c r="Z8" s="57" t="n">
        <f aca="false">IF(Z5=Inputs!$C$7,'Sources &amp; Uses'!$C$31,0)</f>
        <v>0</v>
      </c>
      <c r="AA8" s="57" t="n">
        <f aca="false">IF(AA5=Inputs!$C$7,'Sources &amp; Uses'!$C$31,0)</f>
        <v>0</v>
      </c>
      <c r="AB8" s="57" t="n">
        <f aca="false">IF(AB5=Inputs!$C$7,'Sources &amp; Uses'!$C$31,0)</f>
        <v>0</v>
      </c>
      <c r="AC8" s="57" t="n">
        <f aca="false">IF(AC5=Inputs!$C$7,'Sources &amp; Uses'!$C$31,0)</f>
        <v>0</v>
      </c>
      <c r="AD8" s="57" t="n">
        <f aca="false">IF(AD5=Inputs!$C$7,'Sources &amp; Uses'!$C$31,0)</f>
        <v>0</v>
      </c>
      <c r="AE8" s="57" t="n">
        <f aca="false">IF(AE5=Inputs!$C$7,'Sources &amp; Uses'!$C$31,0)</f>
        <v>0</v>
      </c>
      <c r="AF8" s="57" t="n">
        <f aca="false">IF(AF5=Inputs!$C$7,'Sources &amp; Uses'!$C$31,0)</f>
        <v>0</v>
      </c>
      <c r="AG8" s="57" t="n">
        <f aca="false">IF(AG5=Inputs!$C$7,'Sources &amp; Uses'!$C$31,0)</f>
        <v>0</v>
      </c>
      <c r="AH8" s="57" t="n">
        <f aca="false">IF(AH5=Inputs!$C$7,'Sources &amp; Uses'!$C$31,0)</f>
        <v>0</v>
      </c>
    </row>
    <row r="9" customFormat="false" ht="15" hidden="false" customHeight="true" outlineLevel="0" collapsed="false">
      <c r="B9" s="4" t="s">
        <v>783</v>
      </c>
      <c r="D9" s="59" t="n">
        <f aca="false">SUM(E9:AH9)</f>
        <v>24.054970764169</v>
      </c>
      <c r="E9" s="57" t="n">
        <f aca="false">SUMIF(SPV3!$E$6:$AD$6,E$5,SPV3!$E$63:$AD$63)</f>
        <v>0</v>
      </c>
      <c r="F9" s="57" t="n">
        <f aca="false">SUMIF(SPV3!$E$6:$AD$6,F$5,SPV3!$E$63:$AD$63)</f>
        <v>24.054970764169</v>
      </c>
      <c r="G9" s="57" t="n">
        <f aca="false">SUMIF(SPV3!$E$6:$AD$6,G$5,SPV3!$E$63:$AD$63)</f>
        <v>0</v>
      </c>
      <c r="H9" s="57" t="n">
        <f aca="false">SUMIF(SPV3!$E$6:$AD$6,H$5,SPV3!$E$63:$AD$63)</f>
        <v>0</v>
      </c>
      <c r="I9" s="57" t="n">
        <f aca="false">SUMIF(SPV3!$E$6:$AD$6,I$5,SPV3!$E$63:$AD$63)</f>
        <v>0</v>
      </c>
      <c r="J9" s="57" t="n">
        <f aca="false">SUMIF(SPV3!$E$6:$AD$6,J$5,SPV3!$E$63:$AD$63)</f>
        <v>0</v>
      </c>
      <c r="K9" s="57" t="n">
        <f aca="false">SUMIF(SPV3!$E$6:$AD$6,K$5,SPV3!$E$63:$AD$63)</f>
        <v>0</v>
      </c>
      <c r="L9" s="57" t="n">
        <f aca="false">SUMIF(SPV3!$E$6:$AD$6,L$5,SPV3!$E$63:$AD$63)</f>
        <v>0</v>
      </c>
      <c r="M9" s="57" t="n">
        <f aca="false">SUMIF(SPV3!$E$6:$AD$6,M$5,SPV3!$E$63:$AD$63)</f>
        <v>0</v>
      </c>
      <c r="N9" s="57" t="n">
        <f aca="false">SUMIF(SPV3!$E$6:$AD$6,N$5,SPV3!$E$63:$AD$63)</f>
        <v>0</v>
      </c>
      <c r="O9" s="57" t="n">
        <f aca="false">SUMIF(SPV3!$E$6:$AD$6,O$5,SPV3!$E$63:$AD$63)</f>
        <v>0</v>
      </c>
      <c r="P9" s="57" t="n">
        <f aca="false">SUMIF(SPV3!$E$6:$AD$6,P$5,SPV3!$E$63:$AD$63)</f>
        <v>0</v>
      </c>
      <c r="Q9" s="57" t="n">
        <f aca="false">SUMIF(SPV3!$E$6:$AD$6,Q$5,SPV3!$E$63:$AD$63)</f>
        <v>0</v>
      </c>
      <c r="R9" s="57" t="n">
        <f aca="false">SUMIF(SPV3!$E$6:$AD$6,R$5,SPV3!$E$63:$AD$63)</f>
        <v>0</v>
      </c>
      <c r="S9" s="57" t="n">
        <f aca="false">SUMIF(SPV3!$E$6:$AD$6,S$5,SPV3!$E$63:$AD$63)</f>
        <v>0</v>
      </c>
      <c r="T9" s="57" t="n">
        <f aca="false">SUMIF(SPV3!$E$6:$AD$6,T$5,SPV3!$E$63:$AD$63)</f>
        <v>0</v>
      </c>
      <c r="U9" s="57" t="n">
        <f aca="false">SUMIF(SPV3!$E$6:$AD$6,U$5,SPV3!$E$63:$AD$63)</f>
        <v>0</v>
      </c>
      <c r="V9" s="57" t="n">
        <f aca="false">SUMIF(SPV3!$E$6:$AD$6,V$5,SPV3!$E$63:$AD$63)</f>
        <v>0</v>
      </c>
      <c r="W9" s="57" t="n">
        <f aca="false">SUMIF(SPV3!$E$6:$AD$6,W$5,SPV3!$E$63:$AD$63)</f>
        <v>0</v>
      </c>
      <c r="X9" s="57" t="n">
        <f aca="false">SUMIF(SPV3!$E$6:$AD$6,X$5,SPV3!$E$63:$AD$63)</f>
        <v>0</v>
      </c>
      <c r="Y9" s="57" t="n">
        <f aca="false">SUMIF(SPV3!$E$6:$AD$6,Y$5,SPV3!$E$63:$AD$63)</f>
        <v>0</v>
      </c>
      <c r="Z9" s="57" t="n">
        <f aca="false">SUMIF(SPV3!$E$6:$AD$6,Z$5,SPV3!$E$63:$AD$63)</f>
        <v>0</v>
      </c>
      <c r="AA9" s="57" t="n">
        <f aca="false">SUMIF(SPV3!$E$6:$AD$6,AA$5,SPV3!$E$63:$AD$63)</f>
        <v>0</v>
      </c>
      <c r="AB9" s="57" t="n">
        <f aca="false">SUMIF(SPV3!$E$6:$AD$6,AB$5,SPV3!$E$63:$AD$63)</f>
        <v>0</v>
      </c>
      <c r="AC9" s="57" t="n">
        <f aca="false">SUMIF(SPV3!$E$6:$AD$6,AC$5,SPV3!$E$63:$AD$63)</f>
        <v>0</v>
      </c>
      <c r="AD9" s="57" t="n">
        <f aca="false">SUMIF(SPV3!$E$6:$AD$6,AD$5,SPV3!$E$63:$AD$63)</f>
        <v>0</v>
      </c>
      <c r="AE9" s="57" t="n">
        <f aca="false">SUMIF(SPV3!$E$6:$AD$6,AE$5,SPV3!$E$63:$AD$63)</f>
        <v>0</v>
      </c>
      <c r="AF9" s="57" t="n">
        <f aca="false">SUMIF(SPV3!$E$6:$AD$6,AF$5,SPV3!$E$63:$AD$63)</f>
        <v>0</v>
      </c>
      <c r="AG9" s="57" t="n">
        <f aca="false">SUMIF(SPV3!$E$6:$AD$6,AG$5,SPV3!$E$63:$AD$63)</f>
        <v>0</v>
      </c>
      <c r="AH9" s="57" t="n">
        <f aca="false">SUMIF(SPV3!$E$6:$AD$6,AH$5,SPV3!$E$63:$AD$63)</f>
        <v>0</v>
      </c>
    </row>
    <row r="10" customFormat="false" ht="15" hidden="false" customHeight="true" outlineLevel="0" collapsed="false">
      <c r="B10" s="4" t="s">
        <v>784</v>
      </c>
      <c r="D10" s="59" t="n">
        <f aca="false">SUM(E10:AH10)</f>
        <v>8.4554733745137</v>
      </c>
      <c r="E10" s="57" t="n">
        <f aca="false">IF(E5=Inputs!$D$7,'Sources &amp; Uses'!$D$31,0)</f>
        <v>0</v>
      </c>
      <c r="F10" s="57" t="n">
        <f aca="false">IF(F5=Inputs!$D$7,'Sources &amp; Uses'!$D$31,0)</f>
        <v>0</v>
      </c>
      <c r="G10" s="57" t="n">
        <f aca="false">IF(G5=Inputs!$D$7,'Sources &amp; Uses'!$D$31,0)</f>
        <v>8.4554733745137</v>
      </c>
      <c r="H10" s="57" t="n">
        <f aca="false">IF(H5=Inputs!$D$7,'Sources &amp; Uses'!$D$31,0)</f>
        <v>0</v>
      </c>
      <c r="I10" s="57" t="n">
        <f aca="false">IF(I5=Inputs!$D$7,'Sources &amp; Uses'!$D$31,0)</f>
        <v>0</v>
      </c>
      <c r="J10" s="57" t="n">
        <f aca="false">IF(J5=Inputs!$D$7,'Sources &amp; Uses'!$D$31,0)</f>
        <v>0</v>
      </c>
      <c r="K10" s="57" t="n">
        <f aca="false">IF(K5=Inputs!$D$7,'Sources &amp; Uses'!$D$31,0)</f>
        <v>0</v>
      </c>
      <c r="L10" s="57" t="n">
        <f aca="false">IF(L5=Inputs!$D$7,'Sources &amp; Uses'!$D$31,0)</f>
        <v>0</v>
      </c>
      <c r="M10" s="57" t="n">
        <f aca="false">IF(M5=Inputs!$D$7,'Sources &amp; Uses'!$D$31,0)</f>
        <v>0</v>
      </c>
      <c r="N10" s="57" t="n">
        <f aca="false">IF(N5=Inputs!$D$7,'Sources &amp; Uses'!$D$31,0)</f>
        <v>0</v>
      </c>
      <c r="O10" s="57" t="n">
        <f aca="false">IF(O5=Inputs!$D$7,'Sources &amp; Uses'!$D$31,0)</f>
        <v>0</v>
      </c>
      <c r="P10" s="57" t="n">
        <f aca="false">IF(P5=Inputs!$D$7,'Sources &amp; Uses'!$D$31,0)</f>
        <v>0</v>
      </c>
      <c r="Q10" s="57" t="n">
        <f aca="false">IF(Q5=Inputs!$D$7,'Sources &amp; Uses'!$D$31,0)</f>
        <v>0</v>
      </c>
      <c r="R10" s="57" t="n">
        <f aca="false">IF(R5=Inputs!$D$7,'Sources &amp; Uses'!$D$31,0)</f>
        <v>0</v>
      </c>
      <c r="S10" s="57" t="n">
        <f aca="false">IF(S5=Inputs!$D$7,'Sources &amp; Uses'!$D$31,0)</f>
        <v>0</v>
      </c>
      <c r="T10" s="57" t="n">
        <f aca="false">IF(T5=Inputs!$D$7,'Sources &amp; Uses'!$D$31,0)</f>
        <v>0</v>
      </c>
      <c r="U10" s="57" t="n">
        <f aca="false">IF(U5=Inputs!$D$7,'Sources &amp; Uses'!$D$31,0)</f>
        <v>0</v>
      </c>
      <c r="V10" s="57" t="n">
        <f aca="false">IF(V5=Inputs!$D$7,'Sources &amp; Uses'!$D$31,0)</f>
        <v>0</v>
      </c>
      <c r="W10" s="57" t="n">
        <f aca="false">IF(W5=Inputs!$D$7,'Sources &amp; Uses'!$D$31,0)</f>
        <v>0</v>
      </c>
      <c r="X10" s="57" t="n">
        <f aca="false">IF(X5=Inputs!$D$7,'Sources &amp; Uses'!$D$31,0)</f>
        <v>0</v>
      </c>
      <c r="Y10" s="57" t="n">
        <f aca="false">IF(Y5=Inputs!$D$7,'Sources &amp; Uses'!$D$31,0)</f>
        <v>0</v>
      </c>
      <c r="Z10" s="57" t="n">
        <f aca="false">IF(Z5=Inputs!$D$7,'Sources &amp; Uses'!$D$31,0)</f>
        <v>0</v>
      </c>
      <c r="AA10" s="57" t="n">
        <f aca="false">IF(AA5=Inputs!$D$7,'Sources &amp; Uses'!$D$31,0)</f>
        <v>0</v>
      </c>
      <c r="AB10" s="57" t="n">
        <f aca="false">IF(AB5=Inputs!$D$7,'Sources &amp; Uses'!$D$31,0)</f>
        <v>0</v>
      </c>
      <c r="AC10" s="57" t="n">
        <f aca="false">IF(AC5=Inputs!$D$7,'Sources &amp; Uses'!$D$31,0)</f>
        <v>0</v>
      </c>
      <c r="AD10" s="57" t="n">
        <f aca="false">IF(AD5=Inputs!$D$7,'Sources &amp; Uses'!$D$31,0)</f>
        <v>0</v>
      </c>
      <c r="AE10" s="57" t="n">
        <f aca="false">IF(AE5=Inputs!$D$7,'Sources &amp; Uses'!$D$31,0)</f>
        <v>0</v>
      </c>
      <c r="AF10" s="57" t="n">
        <f aca="false">IF(AF5=Inputs!$D$7,'Sources &amp; Uses'!$D$31,0)</f>
        <v>0</v>
      </c>
      <c r="AG10" s="57" t="n">
        <f aca="false">IF(AG5=Inputs!$D$7,'Sources &amp; Uses'!$D$31,0)</f>
        <v>0</v>
      </c>
      <c r="AH10" s="57" t="n">
        <f aca="false">IF(AH5=Inputs!$D$7,'Sources &amp; Uses'!$D$31,0)</f>
        <v>0</v>
      </c>
    </row>
    <row r="11" customFormat="false" ht="15" hidden="false" customHeight="true" outlineLevel="0" collapsed="false">
      <c r="B11" s="4" t="s">
        <v>785</v>
      </c>
      <c r="D11" s="59" t="n">
        <f aca="false">SUM(E11:AH11)</f>
        <v>47.9143491222443</v>
      </c>
      <c r="E11" s="57" t="n">
        <f aca="false">SUMIF(SPV4!$E$6:$AD$6,E$5,SPV4!$E$63:$AD$63)</f>
        <v>0</v>
      </c>
      <c r="F11" s="57" t="n">
        <f aca="false">SUMIF(SPV4!$E$6:$AD$6,F$5,SPV4!$E$63:$AD$63)</f>
        <v>0</v>
      </c>
      <c r="G11" s="57" t="n">
        <f aca="false">SUMIF(SPV4!$E$6:$AD$6,G$5,SPV4!$E$63:$AD$63)</f>
        <v>47.9143491222443</v>
      </c>
      <c r="H11" s="57" t="n">
        <f aca="false">SUMIF(SPV4!$E$6:$AD$6,H$5,SPV4!$E$63:$AD$63)</f>
        <v>0</v>
      </c>
      <c r="I11" s="57" t="n">
        <f aca="false">SUMIF(SPV4!$E$6:$AD$6,I$5,SPV4!$E$63:$AD$63)</f>
        <v>0</v>
      </c>
      <c r="J11" s="57" t="n">
        <f aca="false">SUMIF(SPV4!$E$6:$AD$6,J$5,SPV4!$E$63:$AD$63)</f>
        <v>0</v>
      </c>
      <c r="K11" s="57" t="n">
        <f aca="false">SUMIF(SPV4!$E$6:$AD$6,K$5,SPV4!$E$63:$AD$63)</f>
        <v>0</v>
      </c>
      <c r="L11" s="57" t="n">
        <f aca="false">SUMIF(SPV4!$E$6:$AD$6,L$5,SPV4!$E$63:$AD$63)</f>
        <v>0</v>
      </c>
      <c r="M11" s="57" t="n">
        <f aca="false">SUMIF(SPV4!$E$6:$AD$6,M$5,SPV4!$E$63:$AD$63)</f>
        <v>0</v>
      </c>
      <c r="N11" s="57" t="n">
        <f aca="false">SUMIF(SPV4!$E$6:$AD$6,N$5,SPV4!$E$63:$AD$63)</f>
        <v>0</v>
      </c>
      <c r="O11" s="57" t="n">
        <f aca="false">SUMIF(SPV4!$E$6:$AD$6,O$5,SPV4!$E$63:$AD$63)</f>
        <v>0</v>
      </c>
      <c r="P11" s="57" t="n">
        <f aca="false">SUMIF(SPV4!$E$6:$AD$6,P$5,SPV4!$E$63:$AD$63)</f>
        <v>0</v>
      </c>
      <c r="Q11" s="57" t="n">
        <f aca="false">SUMIF(SPV4!$E$6:$AD$6,Q$5,SPV4!$E$63:$AD$63)</f>
        <v>0</v>
      </c>
      <c r="R11" s="57" t="n">
        <f aca="false">SUMIF(SPV4!$E$6:$AD$6,R$5,SPV4!$E$63:$AD$63)</f>
        <v>0</v>
      </c>
      <c r="S11" s="57" t="n">
        <f aca="false">SUMIF(SPV4!$E$6:$AD$6,S$5,SPV4!$E$63:$AD$63)</f>
        <v>0</v>
      </c>
      <c r="T11" s="57" t="n">
        <f aca="false">SUMIF(SPV4!$E$6:$AD$6,T$5,SPV4!$E$63:$AD$63)</f>
        <v>0</v>
      </c>
      <c r="U11" s="57" t="n">
        <f aca="false">SUMIF(SPV4!$E$6:$AD$6,U$5,SPV4!$E$63:$AD$63)</f>
        <v>0</v>
      </c>
      <c r="V11" s="57" t="n">
        <f aca="false">SUMIF(SPV4!$E$6:$AD$6,V$5,SPV4!$E$63:$AD$63)</f>
        <v>0</v>
      </c>
      <c r="W11" s="57" t="n">
        <f aca="false">SUMIF(SPV4!$E$6:$AD$6,W$5,SPV4!$E$63:$AD$63)</f>
        <v>0</v>
      </c>
      <c r="X11" s="57" t="n">
        <f aca="false">SUMIF(SPV4!$E$6:$AD$6,X$5,SPV4!$E$63:$AD$63)</f>
        <v>0</v>
      </c>
      <c r="Y11" s="57" t="n">
        <f aca="false">SUMIF(SPV4!$E$6:$AD$6,Y$5,SPV4!$E$63:$AD$63)</f>
        <v>0</v>
      </c>
      <c r="Z11" s="57" t="n">
        <f aca="false">SUMIF(SPV4!$E$6:$AD$6,Z$5,SPV4!$E$63:$AD$63)</f>
        <v>0</v>
      </c>
      <c r="AA11" s="57" t="n">
        <f aca="false">SUMIF(SPV4!$E$6:$AD$6,AA$5,SPV4!$E$63:$AD$63)</f>
        <v>0</v>
      </c>
      <c r="AB11" s="57" t="n">
        <f aca="false">SUMIF(SPV4!$E$6:$AD$6,AB$5,SPV4!$E$63:$AD$63)</f>
        <v>0</v>
      </c>
      <c r="AC11" s="57" t="n">
        <f aca="false">SUMIF(SPV4!$E$6:$AD$6,AC$5,SPV4!$E$63:$AD$63)</f>
        <v>0</v>
      </c>
      <c r="AD11" s="57" t="n">
        <f aca="false">SUMIF(SPV4!$E$6:$AD$6,AD$5,SPV4!$E$63:$AD$63)</f>
        <v>0</v>
      </c>
      <c r="AE11" s="57" t="n">
        <f aca="false">SUMIF(SPV4!$E$6:$AD$6,AE$5,SPV4!$E$63:$AD$63)</f>
        <v>0</v>
      </c>
      <c r="AF11" s="57" t="n">
        <f aca="false">SUMIF(SPV4!$E$6:$AD$6,AF$5,SPV4!$E$63:$AD$63)</f>
        <v>0</v>
      </c>
      <c r="AG11" s="57" t="n">
        <f aca="false">SUMIF(SPV4!$E$6:$AD$6,AG$5,SPV4!$E$63:$AD$63)</f>
        <v>0</v>
      </c>
      <c r="AH11" s="57" t="n">
        <f aca="false">SUMIF(SPV4!$E$6:$AD$6,AH$5,SPV4!$E$63:$AD$63)</f>
        <v>0</v>
      </c>
    </row>
    <row r="12" customFormat="false" ht="15" hidden="false" customHeight="true" outlineLevel="0" collapsed="false">
      <c r="B12" s="4" t="s">
        <v>786</v>
      </c>
      <c r="D12" s="59" t="n">
        <f aca="false">SUM(E12:AH12)</f>
        <v>11.955</v>
      </c>
      <c r="E12" s="57" t="n">
        <f aca="false">IF(E5=Inputs!$C$7-1,'Sources &amp; Uses'!$C$37+'Sources &amp; Uses'!$C$40,0)+IF(E5=Inputs!$D$7-1,'Sources &amp; Uses'!$D$37+'Sources &amp; Uses'!$D$40,0)</f>
        <v>3.985</v>
      </c>
      <c r="F12" s="57" t="n">
        <f aca="false">IF(F5=Inputs!$C$7-1,'Sources &amp; Uses'!$C$37+'Sources &amp; Uses'!$C$40,0)+IF(F5=Inputs!$D$7-1,'Sources &amp; Uses'!$D$37+'Sources &amp; Uses'!$D$40,0)</f>
        <v>7.97</v>
      </c>
      <c r="G12" s="57" t="n">
        <f aca="false">IF(G5=Inputs!$C$7-1,'Sources &amp; Uses'!$C$37+'Sources &amp; Uses'!$C$40,0)+IF(G5=Inputs!$D$7-1,'Sources &amp; Uses'!$D$37+'Sources &amp; Uses'!$D$40,0)</f>
        <v>0</v>
      </c>
      <c r="H12" s="57" t="n">
        <f aca="false">IF(H5=Inputs!$C$7-1,'Sources &amp; Uses'!$C$37+'Sources &amp; Uses'!$C$40,0)+IF(H5=Inputs!$D$7-1,'Sources &amp; Uses'!$D$37+'Sources &amp; Uses'!$D$40,0)</f>
        <v>0</v>
      </c>
      <c r="I12" s="57" t="n">
        <f aca="false">IF(I5=Inputs!$C$7-1,'Sources &amp; Uses'!$C$37+'Sources &amp; Uses'!$C$40,0)+IF(I5=Inputs!$D$7-1,'Sources &amp; Uses'!$D$37+'Sources &amp; Uses'!$D$40,0)</f>
        <v>0</v>
      </c>
      <c r="J12" s="57" t="n">
        <f aca="false">IF(J5=Inputs!$C$7-1,'Sources &amp; Uses'!$C$37+'Sources &amp; Uses'!$C$40,0)+IF(J5=Inputs!$D$7-1,'Sources &amp; Uses'!$D$37+'Sources &amp; Uses'!$D$40,0)</f>
        <v>0</v>
      </c>
      <c r="K12" s="57" t="n">
        <f aca="false">IF(K5=Inputs!$C$7-1,'Sources &amp; Uses'!$C$37+'Sources &amp; Uses'!$C$40,0)+IF(K5=Inputs!$D$7-1,'Sources &amp; Uses'!$D$37+'Sources &amp; Uses'!$D$40,0)</f>
        <v>0</v>
      </c>
      <c r="L12" s="57" t="n">
        <f aca="false">IF(L5=Inputs!$C$7-1,'Sources &amp; Uses'!$C$37+'Sources &amp; Uses'!$C$40,0)+IF(L5=Inputs!$D$7-1,'Sources &amp; Uses'!$D$37+'Sources &amp; Uses'!$D$40,0)</f>
        <v>0</v>
      </c>
      <c r="M12" s="57" t="n">
        <f aca="false">IF(M5=Inputs!$C$7-1,'Sources &amp; Uses'!$C$37+'Sources &amp; Uses'!$C$40,0)+IF(M5=Inputs!$D$7-1,'Sources &amp; Uses'!$D$37+'Sources &amp; Uses'!$D$40,0)</f>
        <v>0</v>
      </c>
      <c r="N12" s="57" t="n">
        <f aca="false">IF(N5=Inputs!$C$7-1,'Sources &amp; Uses'!$C$37+'Sources &amp; Uses'!$C$40,0)+IF(N5=Inputs!$D$7-1,'Sources &amp; Uses'!$D$37+'Sources &amp; Uses'!$D$40,0)</f>
        <v>0</v>
      </c>
      <c r="O12" s="57" t="n">
        <f aca="false">IF(O5=Inputs!$C$7-1,'Sources &amp; Uses'!$C$37+'Sources &amp; Uses'!$C$40,0)+IF(O5=Inputs!$D$7-1,'Sources &amp; Uses'!$D$37+'Sources &amp; Uses'!$D$40,0)</f>
        <v>0</v>
      </c>
      <c r="P12" s="57" t="n">
        <f aca="false">IF(P5=Inputs!$C$7-1,'Sources &amp; Uses'!$C$37+'Sources &amp; Uses'!$C$40,0)+IF(P5=Inputs!$D$7-1,'Sources &amp; Uses'!$D$37+'Sources &amp; Uses'!$D$40,0)</f>
        <v>0</v>
      </c>
      <c r="Q12" s="57" t="n">
        <f aca="false">IF(Q5=Inputs!$C$7-1,'Sources &amp; Uses'!$C$37+'Sources &amp; Uses'!$C$40,0)+IF(Q5=Inputs!$D$7-1,'Sources &amp; Uses'!$D$37+'Sources &amp; Uses'!$D$40,0)</f>
        <v>0</v>
      </c>
      <c r="R12" s="57" t="n">
        <f aca="false">IF(R5=Inputs!$C$7-1,'Sources &amp; Uses'!$C$37+'Sources &amp; Uses'!$C$40,0)+IF(R5=Inputs!$D$7-1,'Sources &amp; Uses'!$D$37+'Sources &amp; Uses'!$D$40,0)</f>
        <v>0</v>
      </c>
      <c r="S12" s="57" t="n">
        <f aca="false">IF(S5=Inputs!$C$7-1,'Sources &amp; Uses'!$C$37+'Sources &amp; Uses'!$C$40,0)+IF(S5=Inputs!$D$7-1,'Sources &amp; Uses'!$D$37+'Sources &amp; Uses'!$D$40,0)</f>
        <v>0</v>
      </c>
      <c r="T12" s="57" t="n">
        <f aca="false">IF(T5=Inputs!$C$7-1,'Sources &amp; Uses'!$C$37+'Sources &amp; Uses'!$C$40,0)+IF(T5=Inputs!$D$7-1,'Sources &amp; Uses'!$D$37+'Sources &amp; Uses'!$D$40,0)</f>
        <v>0</v>
      </c>
      <c r="U12" s="57" t="n">
        <f aca="false">IF(U5=Inputs!$C$7-1,'Sources &amp; Uses'!$C$37+'Sources &amp; Uses'!$C$40,0)+IF(U5=Inputs!$D$7-1,'Sources &amp; Uses'!$D$37+'Sources &amp; Uses'!$D$40,0)</f>
        <v>0</v>
      </c>
      <c r="V12" s="57" t="n">
        <f aca="false">IF(V5=Inputs!$C$7-1,'Sources &amp; Uses'!$C$37+'Sources &amp; Uses'!$C$40,0)+IF(V5=Inputs!$D$7-1,'Sources &amp; Uses'!$D$37+'Sources &amp; Uses'!$D$40,0)</f>
        <v>0</v>
      </c>
      <c r="W12" s="57" t="n">
        <f aca="false">IF(W5=Inputs!$C$7-1,'Sources &amp; Uses'!$C$37+'Sources &amp; Uses'!$C$40,0)+IF(W5=Inputs!$D$7-1,'Sources &amp; Uses'!$D$37+'Sources &amp; Uses'!$D$40,0)</f>
        <v>0</v>
      </c>
      <c r="X12" s="57" t="n">
        <f aca="false">IF(X5=Inputs!$C$7-1,'Sources &amp; Uses'!$C$37+'Sources &amp; Uses'!$C$40,0)+IF(X5=Inputs!$D$7-1,'Sources &amp; Uses'!$D$37+'Sources &amp; Uses'!$D$40,0)</f>
        <v>0</v>
      </c>
      <c r="Y12" s="57" t="n">
        <f aca="false">IF(Y5=Inputs!$C$7-1,'Sources &amp; Uses'!$C$37+'Sources &amp; Uses'!$C$40,0)+IF(Y5=Inputs!$D$7-1,'Sources &amp; Uses'!$D$37+'Sources &amp; Uses'!$D$40,0)</f>
        <v>0</v>
      </c>
      <c r="Z12" s="57" t="n">
        <f aca="false">IF(Z5=Inputs!$C$7-1,'Sources &amp; Uses'!$C$37+'Sources &amp; Uses'!$C$40,0)+IF(Z5=Inputs!$D$7-1,'Sources &amp; Uses'!$D$37+'Sources &amp; Uses'!$D$40,0)</f>
        <v>0</v>
      </c>
      <c r="AA12" s="57" t="n">
        <f aca="false">IF(AA5=Inputs!$C$7-1,'Sources &amp; Uses'!$C$37+'Sources &amp; Uses'!$C$40,0)+IF(AA5=Inputs!$D$7-1,'Sources &amp; Uses'!$D$37+'Sources &amp; Uses'!$D$40,0)</f>
        <v>0</v>
      </c>
      <c r="AB12" s="57" t="n">
        <f aca="false">IF(AB5=Inputs!$C$7-1,'Sources &amp; Uses'!$C$37+'Sources &amp; Uses'!$C$40,0)+IF(AB5=Inputs!$D$7-1,'Sources &amp; Uses'!$D$37+'Sources &amp; Uses'!$D$40,0)</f>
        <v>0</v>
      </c>
      <c r="AC12" s="57" t="n">
        <f aca="false">IF(AC5=Inputs!$C$7-1,'Sources &amp; Uses'!$C$37+'Sources &amp; Uses'!$C$40,0)+IF(AC5=Inputs!$D$7-1,'Sources &amp; Uses'!$D$37+'Sources &amp; Uses'!$D$40,0)</f>
        <v>0</v>
      </c>
      <c r="AD12" s="57" t="n">
        <f aca="false">IF(AD5=Inputs!$C$7-1,'Sources &amp; Uses'!$C$37+'Sources &amp; Uses'!$C$40,0)+IF(AD5=Inputs!$D$7-1,'Sources &amp; Uses'!$D$37+'Sources &amp; Uses'!$D$40,0)</f>
        <v>0</v>
      </c>
      <c r="AE12" s="57" t="n">
        <f aca="false">IF(AE5=Inputs!$C$7-1,'Sources &amp; Uses'!$C$37+'Sources &amp; Uses'!$C$40,0)+IF(AE5=Inputs!$D$7-1,'Sources &amp; Uses'!$D$37+'Sources &amp; Uses'!$D$40,0)</f>
        <v>0</v>
      </c>
      <c r="AF12" s="57" t="n">
        <f aca="false">IF(AF5=Inputs!$C$7-1,'Sources &amp; Uses'!$C$37+'Sources &amp; Uses'!$C$40,0)+IF(AF5=Inputs!$D$7-1,'Sources &amp; Uses'!$D$37+'Sources &amp; Uses'!$D$40,0)</f>
        <v>0</v>
      </c>
      <c r="AG12" s="57" t="n">
        <f aca="false">IF(AG5=Inputs!$C$7-1,'Sources &amp; Uses'!$C$37+'Sources &amp; Uses'!$C$40,0)+IF(AG5=Inputs!$D$7-1,'Sources &amp; Uses'!$D$37+'Sources &amp; Uses'!$D$40,0)</f>
        <v>0</v>
      </c>
      <c r="AH12" s="57" t="n">
        <f aca="false">IF(AH5=Inputs!$C$7-1,'Sources &amp; Uses'!$C$37+'Sources &amp; Uses'!$C$40,0)+IF(AH5=Inputs!$D$7-1,'Sources &amp; Uses'!$D$37+'Sources &amp; Uses'!$D$40,0)</f>
        <v>0</v>
      </c>
    </row>
    <row r="13" customFormat="false" ht="15" hidden="false" customHeight="true" outlineLevel="0" collapsed="false">
      <c r="B13" s="4" t="s">
        <v>787</v>
      </c>
      <c r="D13" s="59" t="n">
        <f aca="false">SUM(E13:AH13)</f>
        <v>4.21875</v>
      </c>
      <c r="E13" s="57" t="n">
        <f aca="false">IF(E5=Inputs!$C$7-1,'Sources &amp; Uses'!$C$39,0)+IF(E5=Inputs!$D$7-1,'Sources &amp; Uses'!$D$39,0)</f>
        <v>1.40625</v>
      </c>
      <c r="F13" s="57" t="n">
        <f aca="false">IF(F5=Inputs!$C$7-1,'Sources &amp; Uses'!$C$39,0)+IF(F5=Inputs!$D$7-1,'Sources &amp; Uses'!$D$39,0)</f>
        <v>2.8125</v>
      </c>
      <c r="G13" s="57" t="n">
        <f aca="false">IF(G5=Inputs!$C$7-1,'Sources &amp; Uses'!$C$39,0)+IF(G5=Inputs!$D$7-1,'Sources &amp; Uses'!$D$39,0)</f>
        <v>0</v>
      </c>
      <c r="H13" s="57" t="n">
        <f aca="false">IF(H5=Inputs!$C$7-1,'Sources &amp; Uses'!$C$39,0)+IF(H5=Inputs!$D$7-1,'Sources &amp; Uses'!$D$39,0)</f>
        <v>0</v>
      </c>
      <c r="I13" s="57" t="n">
        <f aca="false">IF(I5=Inputs!$C$7-1,'Sources &amp; Uses'!$C$39,0)+IF(I5=Inputs!$D$7-1,'Sources &amp; Uses'!$D$39,0)</f>
        <v>0</v>
      </c>
      <c r="J13" s="57" t="n">
        <f aca="false">IF(J5=Inputs!$C$7-1,'Sources &amp; Uses'!$C$39,0)+IF(J5=Inputs!$D$7-1,'Sources &amp; Uses'!$D$39,0)</f>
        <v>0</v>
      </c>
      <c r="K13" s="57" t="n">
        <f aca="false">IF(K5=Inputs!$C$7-1,'Sources &amp; Uses'!$C$39,0)+IF(K5=Inputs!$D$7-1,'Sources &amp; Uses'!$D$39,0)</f>
        <v>0</v>
      </c>
      <c r="L13" s="57" t="n">
        <f aca="false">IF(L5=Inputs!$C$7-1,'Sources &amp; Uses'!$C$39,0)+IF(L5=Inputs!$D$7-1,'Sources &amp; Uses'!$D$39,0)</f>
        <v>0</v>
      </c>
      <c r="M13" s="57" t="n">
        <f aca="false">IF(M5=Inputs!$C$7-1,'Sources &amp; Uses'!$C$39,0)+IF(M5=Inputs!$D$7-1,'Sources &amp; Uses'!$D$39,0)</f>
        <v>0</v>
      </c>
      <c r="N13" s="57" t="n">
        <f aca="false">IF(N5=Inputs!$C$7-1,'Sources &amp; Uses'!$C$39,0)+IF(N5=Inputs!$D$7-1,'Sources &amp; Uses'!$D$39,0)</f>
        <v>0</v>
      </c>
      <c r="O13" s="57" t="n">
        <f aca="false">IF(O5=Inputs!$C$7-1,'Sources &amp; Uses'!$C$39,0)+IF(O5=Inputs!$D$7-1,'Sources &amp; Uses'!$D$39,0)</f>
        <v>0</v>
      </c>
      <c r="P13" s="57" t="n">
        <f aca="false">IF(P5=Inputs!$C$7-1,'Sources &amp; Uses'!$C$39,0)+IF(P5=Inputs!$D$7-1,'Sources &amp; Uses'!$D$39,0)</f>
        <v>0</v>
      </c>
      <c r="Q13" s="57" t="n">
        <f aca="false">IF(Q5=Inputs!$C$7-1,'Sources &amp; Uses'!$C$39,0)+IF(Q5=Inputs!$D$7-1,'Sources &amp; Uses'!$D$39,0)</f>
        <v>0</v>
      </c>
      <c r="R13" s="57" t="n">
        <f aca="false">IF(R5=Inputs!$C$7-1,'Sources &amp; Uses'!$C$39,0)+IF(R5=Inputs!$D$7-1,'Sources &amp; Uses'!$D$39,0)</f>
        <v>0</v>
      </c>
      <c r="S13" s="57" t="n">
        <f aca="false">IF(S5=Inputs!$C$7-1,'Sources &amp; Uses'!$C$39,0)+IF(S5=Inputs!$D$7-1,'Sources &amp; Uses'!$D$39,0)</f>
        <v>0</v>
      </c>
      <c r="T13" s="57" t="n">
        <f aca="false">IF(T5=Inputs!$C$7-1,'Sources &amp; Uses'!$C$39,0)+IF(T5=Inputs!$D$7-1,'Sources &amp; Uses'!$D$39,0)</f>
        <v>0</v>
      </c>
      <c r="U13" s="57" t="n">
        <f aca="false">IF(U5=Inputs!$C$7-1,'Sources &amp; Uses'!$C$39,0)+IF(U5=Inputs!$D$7-1,'Sources &amp; Uses'!$D$39,0)</f>
        <v>0</v>
      </c>
      <c r="V13" s="57" t="n">
        <f aca="false">IF(V5=Inputs!$C$7-1,'Sources &amp; Uses'!$C$39,0)+IF(V5=Inputs!$D$7-1,'Sources &amp; Uses'!$D$39,0)</f>
        <v>0</v>
      </c>
      <c r="W13" s="57" t="n">
        <f aca="false">IF(W5=Inputs!$C$7-1,'Sources &amp; Uses'!$C$39,0)+IF(W5=Inputs!$D$7-1,'Sources &amp; Uses'!$D$39,0)</f>
        <v>0</v>
      </c>
      <c r="X13" s="57" t="n">
        <f aca="false">IF(X5=Inputs!$C$7-1,'Sources &amp; Uses'!$C$39,0)+IF(X5=Inputs!$D$7-1,'Sources &amp; Uses'!$D$39,0)</f>
        <v>0</v>
      </c>
      <c r="Y13" s="57" t="n">
        <f aca="false">IF(Y5=Inputs!$C$7-1,'Sources &amp; Uses'!$C$39,0)+IF(Y5=Inputs!$D$7-1,'Sources &amp; Uses'!$D$39,0)</f>
        <v>0</v>
      </c>
      <c r="Z13" s="57" t="n">
        <f aca="false">IF(Z5=Inputs!$C$7-1,'Sources &amp; Uses'!$C$39,0)+IF(Z5=Inputs!$D$7-1,'Sources &amp; Uses'!$D$39,0)</f>
        <v>0</v>
      </c>
      <c r="AA13" s="57" t="n">
        <f aca="false">IF(AA5=Inputs!$C$7-1,'Sources &amp; Uses'!$C$39,0)+IF(AA5=Inputs!$D$7-1,'Sources &amp; Uses'!$D$39,0)</f>
        <v>0</v>
      </c>
      <c r="AB13" s="57" t="n">
        <f aca="false">IF(AB5=Inputs!$C$7-1,'Sources &amp; Uses'!$C$39,0)+IF(AB5=Inputs!$D$7-1,'Sources &amp; Uses'!$D$39,0)</f>
        <v>0</v>
      </c>
      <c r="AC13" s="57" t="n">
        <f aca="false">IF(AC5=Inputs!$C$7-1,'Sources &amp; Uses'!$C$39,0)+IF(AC5=Inputs!$D$7-1,'Sources &amp; Uses'!$D$39,0)</f>
        <v>0</v>
      </c>
      <c r="AD13" s="57" t="n">
        <f aca="false">IF(AD5=Inputs!$C$7-1,'Sources &amp; Uses'!$C$39,0)+IF(AD5=Inputs!$D$7-1,'Sources &amp; Uses'!$D$39,0)</f>
        <v>0</v>
      </c>
      <c r="AE13" s="57" t="n">
        <f aca="false">IF(AE5=Inputs!$C$7-1,'Sources &amp; Uses'!$C$39,0)+IF(AE5=Inputs!$D$7-1,'Sources &amp; Uses'!$D$39,0)</f>
        <v>0</v>
      </c>
      <c r="AF13" s="57" t="n">
        <f aca="false">IF(AF5=Inputs!$C$7-1,'Sources &amp; Uses'!$C$39,0)+IF(AF5=Inputs!$D$7-1,'Sources &amp; Uses'!$D$39,0)</f>
        <v>0</v>
      </c>
      <c r="AG13" s="57" t="n">
        <f aca="false">IF(AG5=Inputs!$C$7-1,'Sources &amp; Uses'!$C$39,0)+IF(AG5=Inputs!$D$7-1,'Sources &amp; Uses'!$D$39,0)</f>
        <v>0</v>
      </c>
      <c r="AH13" s="57" t="n">
        <f aca="false">IF(AH5=Inputs!$C$7-1,'Sources &amp; Uses'!$C$39,0)+IF(AH5=Inputs!$D$7-1,'Sources &amp; Uses'!$D$39,0)</f>
        <v>0</v>
      </c>
    </row>
    <row r="14" customFormat="false" ht="15" hidden="false" customHeight="true" outlineLevel="0" collapsed="false">
      <c r="B14" s="4" t="s">
        <v>300</v>
      </c>
      <c r="D14" s="59" t="n">
        <f aca="false">SUM(E14:AH14)</f>
        <v>5.6</v>
      </c>
      <c r="E14" s="57" t="n">
        <f aca="false">IF(E5&lt;=MAX(Inputs!$C$7+Inputs!$C$17,Inputs!$D$7+Inputs!$D$17),Inputs!$C$74,0)</f>
        <v>0.2</v>
      </c>
      <c r="F14" s="57" t="n">
        <f aca="false">IF(F5&lt;=MAX(Inputs!$C$7+Inputs!$C$17,Inputs!$D$7+Inputs!$D$17),Inputs!$C$74,0)</f>
        <v>0.2</v>
      </c>
      <c r="G14" s="57" t="n">
        <f aca="false">IF(G5&lt;=MAX(Inputs!$C$7+Inputs!$C$17,Inputs!$D$7+Inputs!$D$17),Inputs!$C$74,0)</f>
        <v>0.2</v>
      </c>
      <c r="H14" s="57" t="n">
        <f aca="false">IF(H5&lt;=MAX(Inputs!$C$7+Inputs!$C$17,Inputs!$D$7+Inputs!$D$17),Inputs!$C$74,0)</f>
        <v>0.2</v>
      </c>
      <c r="I14" s="57" t="n">
        <f aca="false">IF(I5&lt;=MAX(Inputs!$C$7+Inputs!$C$17,Inputs!$D$7+Inputs!$D$17),Inputs!$C$74,0)</f>
        <v>0.2</v>
      </c>
      <c r="J14" s="57" t="n">
        <f aca="false">IF(J5&lt;=MAX(Inputs!$C$7+Inputs!$C$17,Inputs!$D$7+Inputs!$D$17),Inputs!$C$74,0)</f>
        <v>0.2</v>
      </c>
      <c r="K14" s="57" t="n">
        <f aca="false">IF(K5&lt;=MAX(Inputs!$C$7+Inputs!$C$17,Inputs!$D$7+Inputs!$D$17),Inputs!$C$74,0)</f>
        <v>0.2</v>
      </c>
      <c r="L14" s="57" t="n">
        <f aca="false">IF(L5&lt;=MAX(Inputs!$C$7+Inputs!$C$17,Inputs!$D$7+Inputs!$D$17),Inputs!$C$74,0)</f>
        <v>0.2</v>
      </c>
      <c r="M14" s="57" t="n">
        <f aca="false">IF(M5&lt;=MAX(Inputs!$C$7+Inputs!$C$17,Inputs!$D$7+Inputs!$D$17),Inputs!$C$74,0)</f>
        <v>0.2</v>
      </c>
      <c r="N14" s="57" t="n">
        <f aca="false">IF(N5&lt;=MAX(Inputs!$C$7+Inputs!$C$17,Inputs!$D$7+Inputs!$D$17),Inputs!$C$74,0)</f>
        <v>0.2</v>
      </c>
      <c r="O14" s="57" t="n">
        <f aca="false">IF(O5&lt;=MAX(Inputs!$C$7+Inputs!$C$17,Inputs!$D$7+Inputs!$D$17),Inputs!$C$74,0)</f>
        <v>0.2</v>
      </c>
      <c r="P14" s="57" t="n">
        <f aca="false">IF(P5&lt;=MAX(Inputs!$C$7+Inputs!$C$17,Inputs!$D$7+Inputs!$D$17),Inputs!$C$74,0)</f>
        <v>0.2</v>
      </c>
      <c r="Q14" s="57" t="n">
        <f aca="false">IF(Q5&lt;=MAX(Inputs!$C$7+Inputs!$C$17,Inputs!$D$7+Inputs!$D$17),Inputs!$C$74,0)</f>
        <v>0.2</v>
      </c>
      <c r="R14" s="57" t="n">
        <f aca="false">IF(R5&lt;=MAX(Inputs!$C$7+Inputs!$C$17,Inputs!$D$7+Inputs!$D$17),Inputs!$C$74,0)</f>
        <v>0.2</v>
      </c>
      <c r="S14" s="57" t="n">
        <f aca="false">IF(S5&lt;=MAX(Inputs!$C$7+Inputs!$C$17,Inputs!$D$7+Inputs!$D$17),Inputs!$C$74,0)</f>
        <v>0.2</v>
      </c>
      <c r="T14" s="57" t="n">
        <f aca="false">IF(T5&lt;=MAX(Inputs!$C$7+Inputs!$C$17,Inputs!$D$7+Inputs!$D$17),Inputs!$C$74,0)</f>
        <v>0.2</v>
      </c>
      <c r="U14" s="57" t="n">
        <f aca="false">IF(U5&lt;=MAX(Inputs!$C$7+Inputs!$C$17,Inputs!$D$7+Inputs!$D$17),Inputs!$C$74,0)</f>
        <v>0.2</v>
      </c>
      <c r="V14" s="57" t="n">
        <f aca="false">IF(V5&lt;=MAX(Inputs!$C$7+Inputs!$C$17,Inputs!$D$7+Inputs!$D$17),Inputs!$C$74,0)</f>
        <v>0.2</v>
      </c>
      <c r="W14" s="57" t="n">
        <f aca="false">IF(W5&lt;=MAX(Inputs!$C$7+Inputs!$C$17,Inputs!$D$7+Inputs!$D$17),Inputs!$C$74,0)</f>
        <v>0.2</v>
      </c>
      <c r="X14" s="57" t="n">
        <f aca="false">IF(X5&lt;=MAX(Inputs!$C$7+Inputs!$C$17,Inputs!$D$7+Inputs!$D$17),Inputs!$C$74,0)</f>
        <v>0.2</v>
      </c>
      <c r="Y14" s="57" t="n">
        <f aca="false">IF(Y5&lt;=MAX(Inputs!$C$7+Inputs!$C$17,Inputs!$D$7+Inputs!$D$17),Inputs!$C$74,0)</f>
        <v>0.2</v>
      </c>
      <c r="Z14" s="57" t="n">
        <f aca="false">IF(Z5&lt;=MAX(Inputs!$C$7+Inputs!$C$17,Inputs!$D$7+Inputs!$D$17),Inputs!$C$74,0)</f>
        <v>0.2</v>
      </c>
      <c r="AA14" s="57" t="n">
        <f aca="false">IF(AA5&lt;=MAX(Inputs!$C$7+Inputs!$C$17,Inputs!$D$7+Inputs!$D$17),Inputs!$C$74,0)</f>
        <v>0.2</v>
      </c>
      <c r="AB14" s="57" t="n">
        <f aca="false">IF(AB5&lt;=MAX(Inputs!$C$7+Inputs!$C$17,Inputs!$D$7+Inputs!$D$17),Inputs!$C$74,0)</f>
        <v>0.2</v>
      </c>
      <c r="AC14" s="57" t="n">
        <f aca="false">IF(AC5&lt;=MAX(Inputs!$C$7+Inputs!$C$17,Inputs!$D$7+Inputs!$D$17),Inputs!$C$74,0)</f>
        <v>0.2</v>
      </c>
      <c r="AD14" s="57" t="n">
        <f aca="false">IF(AD5&lt;=MAX(Inputs!$C$7+Inputs!$C$17,Inputs!$D$7+Inputs!$D$17),Inputs!$C$74,0)</f>
        <v>0.2</v>
      </c>
      <c r="AE14" s="57" t="n">
        <f aca="false">IF(AE5&lt;=MAX(Inputs!$C$7+Inputs!$C$17,Inputs!$D$7+Inputs!$D$17),Inputs!$C$74,0)</f>
        <v>0.2</v>
      </c>
      <c r="AF14" s="57" t="n">
        <f aca="false">IF(AF5&lt;=MAX(Inputs!$C$7+Inputs!$C$17,Inputs!$D$7+Inputs!$D$17),Inputs!$C$74,0)</f>
        <v>0.2</v>
      </c>
      <c r="AG14" s="57" t="n">
        <f aca="false">IF(AG5&lt;=MAX(Inputs!$C$7+Inputs!$C$17,Inputs!$D$7+Inputs!$D$17),Inputs!$C$74,0)</f>
        <v>0</v>
      </c>
      <c r="AH14" s="57" t="n">
        <f aca="false">IF(AH5&lt;=MAX(Inputs!$C$7+Inputs!$C$17,Inputs!$D$7+Inputs!$D$17),Inputs!$C$74,0)</f>
        <v>0</v>
      </c>
    </row>
    <row r="15" customFormat="false" ht="15" hidden="false" customHeight="true" outlineLevel="0" collapsed="false">
      <c r="B15" s="4" t="s">
        <v>788</v>
      </c>
      <c r="D15" s="59" t="n">
        <f aca="false">SUM(E15:AH15)</f>
        <v>0.232306527305933</v>
      </c>
      <c r="E15" s="57" t="n">
        <v>0</v>
      </c>
      <c r="F15" s="57" t="n">
        <f aca="false">E59</f>
        <v>0</v>
      </c>
      <c r="G15" s="57" t="n">
        <f aca="false">F59</f>
        <v>0.232306527305933</v>
      </c>
      <c r="H15" s="57" t="n">
        <f aca="false">G59</f>
        <v>0</v>
      </c>
      <c r="I15" s="57" t="n">
        <f aca="false">H59</f>
        <v>0</v>
      </c>
      <c r="J15" s="57" t="n">
        <f aca="false">I59</f>
        <v>0</v>
      </c>
      <c r="K15" s="57" t="n">
        <f aca="false">J59</f>
        <v>0</v>
      </c>
      <c r="L15" s="57" t="n">
        <f aca="false">K59</f>
        <v>0</v>
      </c>
      <c r="M15" s="57" t="n">
        <f aca="false">L59</f>
        <v>0</v>
      </c>
      <c r="N15" s="57" t="n">
        <f aca="false">M59</f>
        <v>0</v>
      </c>
      <c r="O15" s="57" t="n">
        <f aca="false">N59</f>
        <v>0</v>
      </c>
      <c r="P15" s="57" t="n">
        <f aca="false">O59</f>
        <v>0</v>
      </c>
      <c r="Q15" s="57" t="n">
        <f aca="false">P59</f>
        <v>0</v>
      </c>
      <c r="R15" s="57" t="n">
        <f aca="false">Q59</f>
        <v>0</v>
      </c>
      <c r="S15" s="57" t="n">
        <f aca="false">R59</f>
        <v>0</v>
      </c>
      <c r="T15" s="57" t="n">
        <f aca="false">S59</f>
        <v>0</v>
      </c>
      <c r="U15" s="57" t="n">
        <f aca="false">T59</f>
        <v>0</v>
      </c>
      <c r="V15" s="57" t="n">
        <f aca="false">U59</f>
        <v>0</v>
      </c>
      <c r="W15" s="57" t="n">
        <f aca="false">V59</f>
        <v>0</v>
      </c>
      <c r="X15" s="57" t="n">
        <f aca="false">W59</f>
        <v>0</v>
      </c>
      <c r="Y15" s="57" t="n">
        <f aca="false">X59</f>
        <v>0</v>
      </c>
      <c r="Z15" s="57" t="n">
        <f aca="false">Y59</f>
        <v>0</v>
      </c>
      <c r="AA15" s="57" t="n">
        <f aca="false">Z59</f>
        <v>0</v>
      </c>
      <c r="AB15" s="57" t="n">
        <f aca="false">AA59</f>
        <v>0</v>
      </c>
      <c r="AC15" s="57" t="n">
        <f aca="false">AB59</f>
        <v>0</v>
      </c>
      <c r="AD15" s="57" t="n">
        <f aca="false">AC59</f>
        <v>0</v>
      </c>
      <c r="AE15" s="57" t="n">
        <f aca="false">AD59</f>
        <v>0</v>
      </c>
      <c r="AF15" s="57" t="n">
        <f aca="false">AE59</f>
        <v>0</v>
      </c>
      <c r="AG15" s="57" t="n">
        <f aca="false">AF59</f>
        <v>0</v>
      </c>
      <c r="AH15" s="57" t="n">
        <f aca="false">AG59</f>
        <v>0</v>
      </c>
    </row>
    <row r="16" customFormat="false" ht="15" hidden="false" customHeight="true" outlineLevel="0" collapsed="false">
      <c r="B16" s="40" t="s">
        <v>789</v>
      </c>
      <c r="D16" s="59" t="n">
        <f aca="false">SUM(E16:AH16)</f>
        <v>106.675844628969</v>
      </c>
      <c r="E16" s="57" t="n">
        <f aca="false">SUM(E8:E15)</f>
        <v>5.59125</v>
      </c>
      <c r="F16" s="57" t="n">
        <f aca="false">SUM(F8:F15)</f>
        <v>39.2824656049047</v>
      </c>
      <c r="G16" s="57" t="n">
        <f aca="false">SUM(G8:G15)</f>
        <v>56.8021290240639</v>
      </c>
      <c r="H16" s="57" t="n">
        <f aca="false">SUM(H8:H15)</f>
        <v>0.2</v>
      </c>
      <c r="I16" s="57" t="n">
        <f aca="false">SUM(I8:I15)</f>
        <v>0.2</v>
      </c>
      <c r="J16" s="57" t="n">
        <f aca="false">SUM(J8:J15)</f>
        <v>0.2</v>
      </c>
      <c r="K16" s="57" t="n">
        <f aca="false">SUM(K8:K15)</f>
        <v>0.2</v>
      </c>
      <c r="L16" s="57" t="n">
        <f aca="false">SUM(L8:L15)</f>
        <v>0.2</v>
      </c>
      <c r="M16" s="57" t="n">
        <f aca="false">SUM(M8:M15)</f>
        <v>0.2</v>
      </c>
      <c r="N16" s="57" t="n">
        <f aca="false">SUM(N8:N15)</f>
        <v>0.2</v>
      </c>
      <c r="O16" s="57" t="n">
        <f aca="false">SUM(O8:O15)</f>
        <v>0.2</v>
      </c>
      <c r="P16" s="57" t="n">
        <f aca="false">SUM(P8:P15)</f>
        <v>0.2</v>
      </c>
      <c r="Q16" s="57" t="n">
        <f aca="false">SUM(Q8:Q15)</f>
        <v>0.2</v>
      </c>
      <c r="R16" s="57" t="n">
        <f aca="false">SUM(R8:R15)</f>
        <v>0.2</v>
      </c>
      <c r="S16" s="57" t="n">
        <f aca="false">SUM(S8:S15)</f>
        <v>0.2</v>
      </c>
      <c r="T16" s="57" t="n">
        <f aca="false">SUM(T8:T15)</f>
        <v>0.2</v>
      </c>
      <c r="U16" s="57" t="n">
        <f aca="false">SUM(U8:U15)</f>
        <v>0.2</v>
      </c>
      <c r="V16" s="57" t="n">
        <f aca="false">SUM(V8:V15)</f>
        <v>0.2</v>
      </c>
      <c r="W16" s="57" t="n">
        <f aca="false">SUM(W8:W15)</f>
        <v>0.2</v>
      </c>
      <c r="X16" s="57" t="n">
        <f aca="false">SUM(X8:X15)</f>
        <v>0.2</v>
      </c>
      <c r="Y16" s="57" t="n">
        <f aca="false">SUM(Y8:Y15)</f>
        <v>0.2</v>
      </c>
      <c r="Z16" s="57" t="n">
        <f aca="false">SUM(Z8:Z15)</f>
        <v>0.2</v>
      </c>
      <c r="AA16" s="57" t="n">
        <f aca="false">SUM(AA8:AA15)</f>
        <v>0.2</v>
      </c>
      <c r="AB16" s="57" t="n">
        <f aca="false">SUM(AB8:AB15)</f>
        <v>0.2</v>
      </c>
      <c r="AC16" s="57" t="n">
        <f aca="false">SUM(AC8:AC15)</f>
        <v>0.2</v>
      </c>
      <c r="AD16" s="57" t="n">
        <f aca="false">SUM(AD8:AD15)</f>
        <v>0.2</v>
      </c>
      <c r="AE16" s="57" t="n">
        <f aca="false">SUM(AE8:AE15)</f>
        <v>0.2</v>
      </c>
      <c r="AF16" s="57" t="n">
        <f aca="false">SUM(AF8:AF15)</f>
        <v>0.2</v>
      </c>
      <c r="AG16" s="57" t="n">
        <f aca="false">SUM(AG8:AG15)</f>
        <v>0</v>
      </c>
      <c r="AH16" s="57" t="n">
        <f aca="false">SUM(AH8:AH15)</f>
        <v>0</v>
      </c>
    </row>
    <row r="17" customFormat="false" ht="15" hidden="false" customHeight="true" outlineLevel="0" collapsed="false">
      <c r="B17" s="21" t="s">
        <v>790</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row>
    <row r="18" customFormat="false" ht="15" hidden="false" customHeight="true" outlineLevel="0" collapsed="false">
      <c r="B18" s="4" t="s">
        <v>791</v>
      </c>
      <c r="D18" s="59" t="n">
        <f aca="false">SUM(E18:AH18)</f>
        <v>92.3908177105739</v>
      </c>
      <c r="E18" s="57" t="n">
        <f aca="false">SUMIF(SPV3!$E$6:$AD$6,E$5,SPV3!$E$65:$AD$65)+SUMIF(SPV4!$E$6:$AD$6,E$5,SPV4!$E$65:$AD$65)</f>
        <v>0</v>
      </c>
      <c r="F18" s="57" t="n">
        <f aca="false">SUMIF(SPV3!$E$6:$AD$6,F$5,SPV3!$E$65:$AD$65)+SUMIF(SPV4!$E$6:$AD$6,F$5,SPV4!$E$65:$AD$65)</f>
        <v>0</v>
      </c>
      <c r="G18" s="57" t="n">
        <f aca="false">SUMIF(SPV3!$E$6:$AD$6,G$5,SPV3!$E$65:$AD$65)+SUMIF(SPV4!$E$6:$AD$6,G$5,SPV4!$E$65:$AD$65)</f>
        <v>2.14090849965078</v>
      </c>
      <c r="H18" s="57" t="n">
        <f aca="false">SUMIF(SPV3!$E$6:$AD$6,H$5,SPV3!$E$65:$AD$65)+SUMIF(SPV4!$E$6:$AD$6,H$5,SPV4!$E$65:$AD$65)</f>
        <v>5.06268374338512</v>
      </c>
      <c r="I18" s="57" t="n">
        <f aca="false">SUMIF(SPV3!$E$6:$AD$6,I$5,SPV3!$E$65:$AD$65)+SUMIF(SPV4!$E$6:$AD$6,I$5,SPV4!$E$65:$AD$65)</f>
        <v>9.81567987357477</v>
      </c>
      <c r="J18" s="57" t="n">
        <f aca="false">SUMIF(SPV3!$E$6:$AD$6,J$5,SPV3!$E$65:$AD$65)+SUMIF(SPV4!$E$6:$AD$6,J$5,SPV4!$E$65:$AD$65)</f>
        <v>9.81567987357477</v>
      </c>
      <c r="K18" s="57" t="n">
        <f aca="false">SUMIF(SPV3!$E$6:$AD$6,K$5,SPV3!$E$65:$AD$65)+SUMIF(SPV4!$E$6:$AD$6,K$5,SPV4!$E$65:$AD$65)</f>
        <v>9.81567987357477</v>
      </c>
      <c r="L18" s="57" t="n">
        <f aca="false">SUMIF(SPV3!$E$6:$AD$6,L$5,SPV3!$E$65:$AD$65)+SUMIF(SPV4!$E$6:$AD$6,L$5,SPV4!$E$65:$AD$65)</f>
        <v>9.81567987357477</v>
      </c>
      <c r="M18" s="57" t="n">
        <f aca="false">SUMIF(SPV3!$E$6:$AD$6,M$5,SPV3!$E$65:$AD$65)+SUMIF(SPV4!$E$6:$AD$6,M$5,SPV4!$E$65:$AD$65)</f>
        <v>9.81567987357477</v>
      </c>
      <c r="N18" s="57" t="n">
        <f aca="false">SUMIF(SPV3!$E$6:$AD$6,N$5,SPV3!$E$65:$AD$65)+SUMIF(SPV4!$E$6:$AD$6,N$5,SPV4!$E$65:$AD$65)</f>
        <v>9.81567987357477</v>
      </c>
      <c r="O18" s="57" t="n">
        <f aca="false">SUMIF(SPV3!$E$6:$AD$6,O$5,SPV3!$E$65:$AD$65)+SUMIF(SPV4!$E$6:$AD$6,O$5,SPV4!$E$65:$AD$65)</f>
        <v>9.81567987357477</v>
      </c>
      <c r="P18" s="57" t="n">
        <f aca="false">SUMIF(SPV3!$E$6:$AD$6,P$5,SPV3!$E$65:$AD$65)+SUMIF(SPV4!$E$6:$AD$6,P$5,SPV4!$E$65:$AD$65)</f>
        <v>9.81567987357477</v>
      </c>
      <c r="Q18" s="57" t="n">
        <f aca="false">SUMIF(SPV3!$E$6:$AD$6,Q$5,SPV3!$E$65:$AD$65)+SUMIF(SPV4!$E$6:$AD$6,Q$5,SPV4!$E$65:$AD$65)</f>
        <v>6.66178647893981</v>
      </c>
      <c r="R18" s="57" t="n">
        <f aca="false">SUMIF(SPV3!$E$6:$AD$6,R$5,SPV3!$E$65:$AD$65)+SUMIF(SPV4!$E$6:$AD$6,R$5,SPV4!$E$65:$AD$65)</f>
        <v>0</v>
      </c>
      <c r="S18" s="57" t="n">
        <f aca="false">SUMIF(SPV3!$E$6:$AD$6,S$5,SPV3!$E$65:$AD$65)+SUMIF(SPV4!$E$6:$AD$6,S$5,SPV4!$E$65:$AD$65)</f>
        <v>0</v>
      </c>
      <c r="T18" s="57" t="n">
        <f aca="false">SUMIF(SPV3!$E$6:$AD$6,T$5,SPV3!$E$65:$AD$65)+SUMIF(SPV4!$E$6:$AD$6,T$5,SPV4!$E$65:$AD$65)</f>
        <v>0</v>
      </c>
      <c r="U18" s="57" t="n">
        <f aca="false">SUMIF(SPV3!$E$6:$AD$6,U$5,SPV3!$E$65:$AD$65)+SUMIF(SPV4!$E$6:$AD$6,U$5,SPV4!$E$65:$AD$65)</f>
        <v>0</v>
      </c>
      <c r="V18" s="57" t="n">
        <f aca="false">SUMIF(SPV3!$E$6:$AD$6,V$5,SPV3!$E$65:$AD$65)+SUMIF(SPV4!$E$6:$AD$6,V$5,SPV4!$E$65:$AD$65)</f>
        <v>0</v>
      </c>
      <c r="W18" s="57" t="n">
        <f aca="false">SUMIF(SPV3!$E$6:$AD$6,W$5,SPV3!$E$65:$AD$65)+SUMIF(SPV4!$E$6:$AD$6,W$5,SPV4!$E$65:$AD$65)</f>
        <v>0</v>
      </c>
      <c r="X18" s="57" t="n">
        <f aca="false">SUMIF(SPV3!$E$6:$AD$6,X$5,SPV3!$E$65:$AD$65)+SUMIF(SPV4!$E$6:$AD$6,X$5,SPV4!$E$65:$AD$65)</f>
        <v>0</v>
      </c>
      <c r="Y18" s="57" t="n">
        <f aca="false">SUMIF(SPV3!$E$6:$AD$6,Y$5,SPV3!$E$65:$AD$65)+SUMIF(SPV4!$E$6:$AD$6,Y$5,SPV4!$E$65:$AD$65)</f>
        <v>0</v>
      </c>
      <c r="Z18" s="57" t="n">
        <f aca="false">SUMIF(SPV3!$E$6:$AD$6,Z$5,SPV3!$E$65:$AD$65)+SUMIF(SPV4!$E$6:$AD$6,Z$5,SPV4!$E$65:$AD$65)</f>
        <v>0</v>
      </c>
      <c r="AA18" s="57" t="n">
        <f aca="false">SUMIF(SPV3!$E$6:$AD$6,AA$5,SPV3!$E$65:$AD$65)+SUMIF(SPV4!$E$6:$AD$6,AA$5,SPV4!$E$65:$AD$65)</f>
        <v>0</v>
      </c>
      <c r="AB18" s="57" t="n">
        <f aca="false">SUMIF(SPV3!$E$6:$AD$6,AB$5,SPV3!$E$65:$AD$65)+SUMIF(SPV4!$E$6:$AD$6,AB$5,SPV4!$E$65:$AD$65)</f>
        <v>0</v>
      </c>
      <c r="AC18" s="57" t="n">
        <f aca="false">SUMIF(SPV3!$E$6:$AD$6,AC$5,SPV3!$E$65:$AD$65)+SUMIF(SPV4!$E$6:$AD$6,AC$5,SPV4!$E$65:$AD$65)</f>
        <v>0</v>
      </c>
      <c r="AD18" s="57" t="n">
        <f aca="false">SUMIF(SPV3!$E$6:$AD$6,AD$5,SPV3!$E$65:$AD$65)+SUMIF(SPV4!$E$6:$AD$6,AD$5,SPV4!$E$65:$AD$65)</f>
        <v>0</v>
      </c>
      <c r="AE18" s="57" t="n">
        <f aca="false">SUMIF(SPV3!$E$6:$AD$6,AE$5,SPV3!$E$65:$AD$65)+SUMIF(SPV4!$E$6:$AD$6,AE$5,SPV4!$E$65:$AD$65)</f>
        <v>0</v>
      </c>
      <c r="AF18" s="57" t="n">
        <f aca="false">SUMIF(SPV3!$E$6:$AD$6,AF$5,SPV3!$E$65:$AD$65)+SUMIF(SPV4!$E$6:$AD$6,AF$5,SPV4!$E$65:$AD$65)</f>
        <v>0</v>
      </c>
      <c r="AG18" s="57" t="n">
        <f aca="false">SUMIF(SPV3!$E$6:$AD$6,AG$5,SPV3!$E$65:$AD$65)+SUMIF(SPV4!$E$6:$AD$6,AG$5,SPV4!$E$65:$AD$65)</f>
        <v>0</v>
      </c>
      <c r="AH18" s="57" t="n">
        <f aca="false">SUMIF(SPV3!$E$6:$AD$6,AH$5,SPV3!$E$65:$AD$65)+SUMIF(SPV4!$E$6:$AD$6,AH$5,SPV4!$E$65:$AD$65)</f>
        <v>0</v>
      </c>
    </row>
    <row r="19" customFormat="false" ht="15" hidden="false" customHeight="true" outlineLevel="0" collapsed="false">
      <c r="B19" s="4" t="s">
        <v>792</v>
      </c>
      <c r="D19" s="59" t="n">
        <f aca="false">SUM(E19:AH19)</f>
        <v>0</v>
      </c>
      <c r="E19" s="57" t="n">
        <f aca="false">SUMIF(SPV3!$E$6:$AD$6,E$5,SPV3!$E$72:$AD$72)+SUMIF(SPV4!$E$6:$AD$6,E$5,SPV4!$E$72:$AD$72)</f>
        <v>0</v>
      </c>
      <c r="F19" s="57" t="n">
        <f aca="false">SUMIF(SPV3!$E$6:$AD$6,F$5,SPV3!$E$72:$AD$72)+SUMIF(SPV4!$E$6:$AD$6,F$5,SPV4!$E$72:$AD$72)</f>
        <v>0</v>
      </c>
      <c r="G19" s="57" t="n">
        <f aca="false">SUMIF(SPV3!$E$6:$AD$6,G$5,SPV3!$E$72:$AD$72)+SUMIF(SPV4!$E$6:$AD$6,G$5,SPV4!$E$72:$AD$72)</f>
        <v>0</v>
      </c>
      <c r="H19" s="57" t="n">
        <f aca="false">SUMIF(SPV3!$E$6:$AD$6,H$5,SPV3!$E$72:$AD$72)+SUMIF(SPV4!$E$6:$AD$6,H$5,SPV4!$E$72:$AD$72)</f>
        <v>0</v>
      </c>
      <c r="I19" s="57" t="n">
        <f aca="false">SUMIF(SPV3!$E$6:$AD$6,I$5,SPV3!$E$72:$AD$72)+SUMIF(SPV4!$E$6:$AD$6,I$5,SPV4!$E$72:$AD$72)</f>
        <v>0</v>
      </c>
      <c r="J19" s="57" t="n">
        <f aca="false">SUMIF(SPV3!$E$6:$AD$6,J$5,SPV3!$E$72:$AD$72)+SUMIF(SPV4!$E$6:$AD$6,J$5,SPV4!$E$72:$AD$72)</f>
        <v>0</v>
      </c>
      <c r="K19" s="57" t="n">
        <f aca="false">SUMIF(SPV3!$E$6:$AD$6,K$5,SPV3!$E$72:$AD$72)+SUMIF(SPV4!$E$6:$AD$6,K$5,SPV4!$E$72:$AD$72)</f>
        <v>0</v>
      </c>
      <c r="L19" s="57" t="n">
        <f aca="false">SUMIF(SPV3!$E$6:$AD$6,L$5,SPV3!$E$72:$AD$72)+SUMIF(SPV4!$E$6:$AD$6,L$5,SPV4!$E$72:$AD$72)</f>
        <v>0</v>
      </c>
      <c r="M19" s="57" t="n">
        <f aca="false">SUMIF(SPV3!$E$6:$AD$6,M$5,SPV3!$E$72:$AD$72)+SUMIF(SPV4!$E$6:$AD$6,M$5,SPV4!$E$72:$AD$72)</f>
        <v>0</v>
      </c>
      <c r="N19" s="57" t="n">
        <f aca="false">SUMIF(SPV3!$E$6:$AD$6,N$5,SPV3!$E$72:$AD$72)+SUMIF(SPV4!$E$6:$AD$6,N$5,SPV4!$E$72:$AD$72)</f>
        <v>0</v>
      </c>
      <c r="O19" s="57" t="n">
        <f aca="false">SUMIF(SPV3!$E$6:$AD$6,O$5,SPV3!$E$72:$AD$72)+SUMIF(SPV4!$E$6:$AD$6,O$5,SPV4!$E$72:$AD$72)</f>
        <v>0</v>
      </c>
      <c r="P19" s="57" t="n">
        <f aca="false">SUMIF(SPV3!$E$6:$AD$6,P$5,SPV3!$E$72:$AD$72)+SUMIF(SPV4!$E$6:$AD$6,P$5,SPV4!$E$72:$AD$72)</f>
        <v>0</v>
      </c>
      <c r="Q19" s="57" t="n">
        <f aca="false">SUMIF(SPV3!$E$6:$AD$6,Q$5,SPV3!$E$72:$AD$72)+SUMIF(SPV4!$E$6:$AD$6,Q$5,SPV4!$E$72:$AD$72)</f>
        <v>0</v>
      </c>
      <c r="R19" s="57" t="n">
        <f aca="false">SUMIF(SPV3!$E$6:$AD$6,R$5,SPV3!$E$72:$AD$72)+SUMIF(SPV4!$E$6:$AD$6,R$5,SPV4!$E$72:$AD$72)</f>
        <v>0</v>
      </c>
      <c r="S19" s="57" t="n">
        <f aca="false">SUMIF(SPV3!$E$6:$AD$6,S$5,SPV3!$E$72:$AD$72)+SUMIF(SPV4!$E$6:$AD$6,S$5,SPV4!$E$72:$AD$72)</f>
        <v>0</v>
      </c>
      <c r="T19" s="57" t="n">
        <f aca="false">SUMIF(SPV3!$E$6:$AD$6,T$5,SPV3!$E$72:$AD$72)+SUMIF(SPV4!$E$6:$AD$6,T$5,SPV4!$E$72:$AD$72)</f>
        <v>0</v>
      </c>
      <c r="U19" s="57" t="n">
        <f aca="false">SUMIF(SPV3!$E$6:$AD$6,U$5,SPV3!$E$72:$AD$72)+SUMIF(SPV4!$E$6:$AD$6,U$5,SPV4!$E$72:$AD$72)</f>
        <v>0</v>
      </c>
      <c r="V19" s="57" t="n">
        <f aca="false">SUMIF(SPV3!$E$6:$AD$6,V$5,SPV3!$E$72:$AD$72)+SUMIF(SPV4!$E$6:$AD$6,V$5,SPV4!$E$72:$AD$72)</f>
        <v>0</v>
      </c>
      <c r="W19" s="57" t="n">
        <f aca="false">SUMIF(SPV3!$E$6:$AD$6,W$5,SPV3!$E$72:$AD$72)+SUMIF(SPV4!$E$6:$AD$6,W$5,SPV4!$E$72:$AD$72)</f>
        <v>0</v>
      </c>
      <c r="X19" s="57" t="n">
        <f aca="false">SUMIF(SPV3!$E$6:$AD$6,X$5,SPV3!$E$72:$AD$72)+SUMIF(SPV4!$E$6:$AD$6,X$5,SPV4!$E$72:$AD$72)</f>
        <v>0</v>
      </c>
      <c r="Y19" s="57" t="n">
        <f aca="false">SUMIF(SPV3!$E$6:$AD$6,Y$5,SPV3!$E$72:$AD$72)+SUMIF(SPV4!$E$6:$AD$6,Y$5,SPV4!$E$72:$AD$72)</f>
        <v>0</v>
      </c>
      <c r="Z19" s="57" t="n">
        <f aca="false">SUMIF(SPV3!$E$6:$AD$6,Z$5,SPV3!$E$72:$AD$72)+SUMIF(SPV4!$E$6:$AD$6,Z$5,SPV4!$E$72:$AD$72)</f>
        <v>0</v>
      </c>
      <c r="AA19" s="57" t="n">
        <f aca="false">SUMIF(SPV3!$E$6:$AD$6,AA$5,SPV3!$E$72:$AD$72)+SUMIF(SPV4!$E$6:$AD$6,AA$5,SPV4!$E$72:$AD$72)</f>
        <v>0</v>
      </c>
      <c r="AB19" s="57" t="n">
        <f aca="false">SUMIF(SPV3!$E$6:$AD$6,AB$5,SPV3!$E$72:$AD$72)+SUMIF(SPV4!$E$6:$AD$6,AB$5,SPV4!$E$72:$AD$72)</f>
        <v>0</v>
      </c>
      <c r="AC19" s="57" t="n">
        <f aca="false">SUMIF(SPV3!$E$6:$AD$6,AC$5,SPV3!$E$72:$AD$72)+SUMIF(SPV4!$E$6:$AD$6,AC$5,SPV4!$E$72:$AD$72)</f>
        <v>0</v>
      </c>
      <c r="AD19" s="57" t="n">
        <f aca="false">SUMIF(SPV3!$E$6:$AD$6,AD$5,SPV3!$E$72:$AD$72)+SUMIF(SPV4!$E$6:$AD$6,AD$5,SPV4!$E$72:$AD$72)</f>
        <v>0</v>
      </c>
      <c r="AE19" s="57" t="n">
        <f aca="false">SUMIF(SPV3!$E$6:$AD$6,AE$5,SPV3!$E$72:$AD$72)+SUMIF(SPV4!$E$6:$AD$6,AE$5,SPV4!$E$72:$AD$72)</f>
        <v>0</v>
      </c>
      <c r="AF19" s="57" t="n">
        <f aca="false">SUMIF(SPV3!$E$6:$AD$6,AF$5,SPV3!$E$72:$AD$72)+SUMIF(SPV4!$E$6:$AD$6,AF$5,SPV4!$E$72:$AD$72)</f>
        <v>0</v>
      </c>
      <c r="AG19" s="57" t="n">
        <f aca="false">SUMIF(SPV3!$E$6:$AD$6,AG$5,SPV3!$E$72:$AD$72)+SUMIF(SPV4!$E$6:$AD$6,AG$5,SPV4!$E$72:$AD$72)</f>
        <v>0</v>
      </c>
      <c r="AH19" s="57" t="n">
        <f aca="false">SUMIF(SPV3!$E$6:$AD$6,AH$5,SPV3!$E$72:$AD$72)+SUMIF(SPV4!$E$6:$AD$6,AH$5,SPV4!$E$72:$AD$72)</f>
        <v>0</v>
      </c>
    </row>
    <row r="20" customFormat="false" ht="15" hidden="false" customHeight="true" outlineLevel="0" collapsed="false">
      <c r="B20" s="4" t="s">
        <v>793</v>
      </c>
      <c r="D20" s="59" t="n">
        <f aca="false">SUM(E20:AH20)</f>
        <v>311.674065793327</v>
      </c>
      <c r="E20" s="57" t="n">
        <f aca="false">SUMIF(SPV3!$E$6:$AD$6,E$5,SPV3!$E$69:$AD$69)+SUMIF(SPV4!$E$6:$AD$6,E$5,SPV4!$E$69:$AD$69)</f>
        <v>0</v>
      </c>
      <c r="F20" s="57" t="n">
        <f aca="false">SUMIF(SPV3!$E$6:$AD$6,F$5,SPV3!$E$69:$AD$69)+SUMIF(SPV4!$E$6:$AD$6,F$5,SPV4!$E$69:$AD$69)</f>
        <v>0</v>
      </c>
      <c r="G20" s="57" t="n">
        <f aca="false">SUMIF(SPV3!$E$6:$AD$6,G$5,SPV3!$E$69:$AD$69)+SUMIF(SPV4!$E$6:$AD$6,G$5,SPV4!$E$69:$AD$69)</f>
        <v>0</v>
      </c>
      <c r="H20" s="57" t="n">
        <f aca="false">SUMIF(SPV3!$E$6:$AD$6,H$5,SPV3!$E$69:$AD$69)+SUMIF(SPV4!$E$6:$AD$6,H$5,SPV4!$E$69:$AD$69)</f>
        <v>0</v>
      </c>
      <c r="I20" s="57" t="n">
        <f aca="false">SUMIF(SPV3!$E$6:$AD$6,I$5,SPV3!$E$69:$AD$69)+SUMIF(SPV4!$E$6:$AD$6,I$5,SPV4!$E$69:$AD$69)</f>
        <v>0</v>
      </c>
      <c r="J20" s="57" t="n">
        <f aca="false">SUMIF(SPV3!$E$6:$AD$6,J$5,SPV3!$E$69:$AD$69)+SUMIF(SPV4!$E$6:$AD$6,J$5,SPV4!$E$69:$AD$69)</f>
        <v>0</v>
      </c>
      <c r="K20" s="57" t="n">
        <f aca="false">SUMIF(SPV3!$E$6:$AD$6,K$5,SPV3!$E$69:$AD$69)+SUMIF(SPV4!$E$6:$AD$6,K$5,SPV4!$E$69:$AD$69)</f>
        <v>0</v>
      </c>
      <c r="L20" s="57" t="n">
        <f aca="false">SUMIF(SPV3!$E$6:$AD$6,L$5,SPV3!$E$69:$AD$69)+SUMIF(SPV4!$E$6:$AD$6,L$5,SPV4!$E$69:$AD$69)</f>
        <v>0</v>
      </c>
      <c r="M20" s="57" t="n">
        <f aca="false">SUMIF(SPV3!$E$6:$AD$6,M$5,SPV3!$E$69:$AD$69)+SUMIF(SPV4!$E$6:$AD$6,M$5,SPV4!$E$69:$AD$69)</f>
        <v>0</v>
      </c>
      <c r="N20" s="57" t="n">
        <f aca="false">SUMIF(SPV3!$E$6:$AD$6,N$5,SPV3!$E$69:$AD$69)+SUMIF(SPV4!$E$6:$AD$6,N$5,SPV4!$E$69:$AD$69)</f>
        <v>0</v>
      </c>
      <c r="O20" s="57" t="n">
        <f aca="false">SUMIF(SPV3!$E$6:$AD$6,O$5,SPV3!$E$69:$AD$69)+SUMIF(SPV4!$E$6:$AD$6,O$5,SPV4!$E$69:$AD$69)</f>
        <v>0</v>
      </c>
      <c r="P20" s="57" t="n">
        <f aca="false">SUMIF(SPV3!$E$6:$AD$6,P$5,SPV3!$E$69:$AD$69)+SUMIF(SPV4!$E$6:$AD$6,P$5,SPV4!$E$69:$AD$69)</f>
        <v>0</v>
      </c>
      <c r="Q20" s="57" t="n">
        <f aca="false">SUMIF(SPV3!$E$6:$AD$6,Q$5,SPV3!$E$69:$AD$69)+SUMIF(SPV4!$E$6:$AD$6,Q$5,SPV4!$E$69:$AD$69)</f>
        <v>4.80411263453289</v>
      </c>
      <c r="R20" s="57" t="n">
        <f aca="false">SUMIF(SPV3!$E$6:$AD$6,R$5,SPV3!$E$69:$AD$69)+SUMIF(SPV4!$E$6:$AD$6,R$5,SPV4!$E$69:$AD$69)</f>
        <v>7.51225694933008</v>
      </c>
      <c r="S20" s="57" t="n">
        <f aca="false">SUMIF(SPV3!$E$6:$AD$6,S$5,SPV3!$E$69:$AD$69)+SUMIF(SPV4!$E$6:$AD$6,S$5,SPV4!$E$69:$AD$69)</f>
        <v>8.28144377165407</v>
      </c>
      <c r="T20" s="57" t="n">
        <f aca="false">SUMIF(SPV3!$E$6:$AD$6,T$5,SPV3!$E$69:$AD$69)+SUMIF(SPV4!$E$6:$AD$6,T$5,SPV4!$E$69:$AD$69)</f>
        <v>16.7524993445844</v>
      </c>
      <c r="U20" s="57" t="n">
        <f aca="false">SUMIF(SPV3!$E$6:$AD$6,U$5,SPV3!$E$69:$AD$69)+SUMIF(SPV4!$E$6:$AD$6,U$5,SPV4!$E$69:$AD$69)</f>
        <v>13.8548549185988</v>
      </c>
      <c r="V20" s="57" t="n">
        <f aca="false">SUMIF(SPV3!$E$6:$AD$6,V$5,SPV3!$E$69:$AD$69)+SUMIF(SPV4!$E$6:$AD$6,V$5,SPV4!$E$69:$AD$69)</f>
        <v>17.8525288027783</v>
      </c>
      <c r="W20" s="57" t="n">
        <f aca="false">SUMIF(SPV3!$E$6:$AD$6,W$5,SPV3!$E$69:$AD$69)+SUMIF(SPV4!$E$6:$AD$6,W$5,SPV4!$E$69:$AD$69)</f>
        <v>24.781386229216</v>
      </c>
      <c r="X20" s="57" t="n">
        <f aca="false">SUMIF(SPV3!$E$6:$AD$6,X$5,SPV3!$E$69:$AD$69)+SUMIF(SPV4!$E$6:$AD$6,X$5,SPV4!$E$69:$AD$69)</f>
        <v>26.6600394897851</v>
      </c>
      <c r="Y20" s="57" t="n">
        <f aca="false">SUMIF(SPV3!$E$6:$AD$6,Y$5,SPV3!$E$69:$AD$69)+SUMIF(SPV4!$E$6:$AD$6,Y$5,SPV4!$E$69:$AD$69)</f>
        <v>26.4514161347365</v>
      </c>
      <c r="Z20" s="57" t="n">
        <f aca="false">SUMIF(SPV3!$E$6:$AD$6,Z$5,SPV3!$E$69:$AD$69)+SUMIF(SPV4!$E$6:$AD$6,Z$5,SPV4!$E$69:$AD$69)</f>
        <v>26.2760513410638</v>
      </c>
      <c r="AA20" s="57" t="n">
        <f aca="false">SUMIF(SPV3!$E$6:$AD$6,AA$5,SPV3!$E$69:$AD$69)+SUMIF(SPV4!$E$6:$AD$6,AA$5,SPV4!$E$69:$AD$69)</f>
        <v>26.1208424473393</v>
      </c>
      <c r="AB20" s="57" t="n">
        <f aca="false">SUMIF(SPV3!$E$6:$AD$6,AB$5,SPV3!$E$69:$AD$69)+SUMIF(SPV4!$E$6:$AD$6,AB$5,SPV4!$E$69:$AD$69)</f>
        <v>25.9779270536538</v>
      </c>
      <c r="AC20" s="57" t="n">
        <f aca="false">SUMIF(SPV3!$E$6:$AD$6,AC$5,SPV3!$E$69:$AD$69)+SUMIF(SPV4!$E$6:$AD$6,AC$5,SPV4!$E$69:$AD$69)</f>
        <v>25.8425869202215</v>
      </c>
      <c r="AD20" s="57" t="n">
        <f aca="false">SUMIF(SPV3!$E$6:$AD$6,AD$5,SPV3!$E$69:$AD$69)+SUMIF(SPV4!$E$6:$AD$6,AD$5,SPV4!$E$69:$AD$69)</f>
        <v>25.71199030653</v>
      </c>
      <c r="AE20" s="57" t="n">
        <f aca="false">SUMIF(SPV3!$E$6:$AD$6,AE$5,SPV3!$E$69:$AD$69)+SUMIF(SPV4!$E$6:$AD$6,AE$5,SPV4!$E$69:$AD$69)</f>
        <v>22.0432653059082</v>
      </c>
      <c r="AF20" s="57" t="n">
        <f aca="false">SUMIF(SPV3!$E$6:$AD$6,AF$5,SPV3!$E$69:$AD$69)+SUMIF(SPV4!$E$6:$AD$6,AF$5,SPV4!$E$69:$AD$69)</f>
        <v>12.750864143394</v>
      </c>
      <c r="AG20" s="57" t="n">
        <f aca="false">SUMIF(SPV3!$E$6:$AD$6,AG$5,SPV3!$E$69:$AD$69)+SUMIF(SPV4!$E$6:$AD$6,AG$5,SPV4!$E$69:$AD$69)</f>
        <v>0</v>
      </c>
      <c r="AH20" s="57" t="n">
        <f aca="false">SUMIF(SPV3!$E$6:$AD$6,AH$5,SPV3!$E$69:$AD$69)+SUMIF(SPV4!$E$6:$AD$6,AH$5,SPV4!$E$69:$AD$69)</f>
        <v>0</v>
      </c>
    </row>
    <row r="21" customFormat="false" ht="15" hidden="false" customHeight="true" outlineLevel="0" collapsed="false">
      <c r="B21" s="4" t="s">
        <v>794</v>
      </c>
      <c r="D21" s="59" t="n">
        <f aca="false">SUM(E21:AH21)</f>
        <v>106.452800495039</v>
      </c>
      <c r="E21" s="57" t="n">
        <f aca="false">SUMIF(SPV3!$E$6:$AD$6,E$5,SPV3!$E$77:$AD$77)+SUMIF(SPV4!$E$6:$AD$6,E$5,SPV4!$E$77:$AD$77)</f>
        <v>0</v>
      </c>
      <c r="F21" s="57" t="n">
        <f aca="false">SUMIF(SPV3!$E$6:$AD$6,F$5,SPV3!$E$77:$AD$77)+SUMIF(SPV4!$E$6:$AD$6,F$5,SPV4!$E$77:$AD$77)</f>
        <v>0</v>
      </c>
      <c r="G21" s="57" t="n">
        <f aca="false">SUMIF(SPV3!$E$6:$AD$6,G$5,SPV3!$E$77:$AD$77)+SUMIF(SPV4!$E$6:$AD$6,G$5,SPV4!$E$77:$AD$77)</f>
        <v>0</v>
      </c>
      <c r="H21" s="57" t="n">
        <f aca="false">SUMIF(SPV3!$E$6:$AD$6,H$5,SPV3!$E$77:$AD$77)+SUMIF(SPV4!$E$6:$AD$6,H$5,SPV4!$E$77:$AD$77)</f>
        <v>0</v>
      </c>
      <c r="I21" s="57" t="n">
        <f aca="false">SUMIF(SPV3!$E$6:$AD$6,I$5,SPV3!$E$77:$AD$77)+SUMIF(SPV4!$E$6:$AD$6,I$5,SPV4!$E$77:$AD$77)</f>
        <v>0</v>
      </c>
      <c r="J21" s="57" t="n">
        <f aca="false">SUMIF(SPV3!$E$6:$AD$6,J$5,SPV3!$E$77:$AD$77)+SUMIF(SPV4!$E$6:$AD$6,J$5,SPV4!$E$77:$AD$77)</f>
        <v>0</v>
      </c>
      <c r="K21" s="57" t="n">
        <f aca="false">SUMIF(SPV3!$E$6:$AD$6,K$5,SPV3!$E$77:$AD$77)+SUMIF(SPV4!$E$6:$AD$6,K$5,SPV4!$E$77:$AD$77)</f>
        <v>0</v>
      </c>
      <c r="L21" s="57" t="n">
        <f aca="false">SUMIF(SPV3!$E$6:$AD$6,L$5,SPV3!$E$77:$AD$77)+SUMIF(SPV4!$E$6:$AD$6,L$5,SPV4!$E$77:$AD$77)</f>
        <v>0</v>
      </c>
      <c r="M21" s="57" t="n">
        <f aca="false">SUMIF(SPV3!$E$6:$AD$6,M$5,SPV3!$E$77:$AD$77)+SUMIF(SPV4!$E$6:$AD$6,M$5,SPV4!$E$77:$AD$77)</f>
        <v>0</v>
      </c>
      <c r="N21" s="57" t="n">
        <f aca="false">SUMIF(SPV3!$E$6:$AD$6,N$5,SPV3!$E$77:$AD$77)+SUMIF(SPV4!$E$6:$AD$6,N$5,SPV4!$E$77:$AD$77)</f>
        <v>0</v>
      </c>
      <c r="O21" s="57" t="n">
        <f aca="false">SUMIF(SPV3!$E$6:$AD$6,O$5,SPV3!$E$77:$AD$77)+SUMIF(SPV4!$E$6:$AD$6,O$5,SPV4!$E$77:$AD$77)</f>
        <v>0</v>
      </c>
      <c r="P21" s="57" t="n">
        <f aca="false">SUMIF(SPV3!$E$6:$AD$6,P$5,SPV3!$E$77:$AD$77)+SUMIF(SPV4!$E$6:$AD$6,P$5,SPV4!$E$77:$AD$77)</f>
        <v>0</v>
      </c>
      <c r="Q21" s="57" t="n">
        <f aca="false">SUMIF(SPV3!$E$6:$AD$6,Q$5,SPV3!$E$77:$AD$77)+SUMIF(SPV4!$E$6:$AD$6,Q$5,SPV4!$E$77:$AD$77)</f>
        <v>15.8487825339581</v>
      </c>
      <c r="R21" s="57" t="n">
        <f aca="false">SUMIF(SPV3!$E$6:$AD$6,R$5,SPV3!$E$77:$AD$77)+SUMIF(SPV4!$E$6:$AD$6,R$5,SPV4!$E$77:$AD$77)</f>
        <v>36.8117944118162</v>
      </c>
      <c r="S21" s="57" t="n">
        <f aca="false">SUMIF(SPV3!$E$6:$AD$6,S$5,SPV3!$E$77:$AD$77)+SUMIF(SPV4!$E$6:$AD$6,S$5,SPV4!$E$77:$AD$77)</f>
        <v>14.1459805644206</v>
      </c>
      <c r="T21" s="57" t="n">
        <f aca="false">SUMIF(SPV3!$E$6:$AD$6,T$5,SPV3!$E$77:$AD$77)+SUMIF(SPV4!$E$6:$AD$6,T$5,SPV4!$E$77:$AD$77)</f>
        <v>14.1459805644206</v>
      </c>
      <c r="U21" s="57" t="n">
        <f aca="false">SUMIF(SPV3!$E$6:$AD$6,U$5,SPV3!$E$77:$AD$77)+SUMIF(SPV4!$E$6:$AD$6,U$5,SPV4!$E$77:$AD$77)</f>
        <v>13.9314557683049</v>
      </c>
      <c r="V21" s="57" t="n">
        <f aca="false">SUMIF(SPV3!$E$6:$AD$6,V$5,SPV3!$E$77:$AD$77)+SUMIF(SPV4!$E$6:$AD$6,V$5,SPV4!$E$77:$AD$77)</f>
        <v>9.42643504987447</v>
      </c>
      <c r="W21" s="57" t="n">
        <f aca="false">SUMIF(SPV3!$E$6:$AD$6,W$5,SPV3!$E$77:$AD$77)+SUMIF(SPV4!$E$6:$AD$6,W$5,SPV4!$E$77:$AD$77)</f>
        <v>2.14237160224417</v>
      </c>
      <c r="X21" s="57" t="n">
        <f aca="false">SUMIF(SPV3!$E$6:$AD$6,X$5,SPV3!$E$77:$AD$77)+SUMIF(SPV4!$E$6:$AD$6,X$5,SPV4!$E$77:$AD$77)</f>
        <v>0</v>
      </c>
      <c r="Y21" s="57" t="n">
        <f aca="false">SUMIF(SPV3!$E$6:$AD$6,Y$5,SPV3!$E$77:$AD$77)+SUMIF(SPV4!$E$6:$AD$6,Y$5,SPV4!$E$77:$AD$77)</f>
        <v>0</v>
      </c>
      <c r="Z21" s="57" t="n">
        <f aca="false">SUMIF(SPV3!$E$6:$AD$6,Z$5,SPV3!$E$77:$AD$77)+SUMIF(SPV4!$E$6:$AD$6,Z$5,SPV4!$E$77:$AD$77)</f>
        <v>0</v>
      </c>
      <c r="AA21" s="57" t="n">
        <f aca="false">SUMIF(SPV3!$E$6:$AD$6,AA$5,SPV3!$E$77:$AD$77)+SUMIF(SPV4!$E$6:$AD$6,AA$5,SPV4!$E$77:$AD$77)</f>
        <v>0</v>
      </c>
      <c r="AB21" s="57" t="n">
        <f aca="false">SUMIF(SPV3!$E$6:$AD$6,AB$5,SPV3!$E$77:$AD$77)+SUMIF(SPV4!$E$6:$AD$6,AB$5,SPV4!$E$77:$AD$77)</f>
        <v>0</v>
      </c>
      <c r="AC21" s="57" t="n">
        <f aca="false">SUMIF(SPV3!$E$6:$AD$6,AC$5,SPV3!$E$77:$AD$77)+SUMIF(SPV4!$E$6:$AD$6,AC$5,SPV4!$E$77:$AD$77)</f>
        <v>0</v>
      </c>
      <c r="AD21" s="57" t="n">
        <f aca="false">SUMIF(SPV3!$E$6:$AD$6,AD$5,SPV3!$E$77:$AD$77)+SUMIF(SPV4!$E$6:$AD$6,AD$5,SPV4!$E$77:$AD$77)</f>
        <v>0</v>
      </c>
      <c r="AE21" s="57" t="n">
        <f aca="false">SUMIF(SPV3!$E$6:$AD$6,AE$5,SPV3!$E$77:$AD$77)+SUMIF(SPV4!$E$6:$AD$6,AE$5,SPV4!$E$77:$AD$77)</f>
        <v>0</v>
      </c>
      <c r="AF21" s="57" t="n">
        <f aca="false">SUMIF(SPV3!$E$6:$AD$6,AF$5,SPV3!$E$77:$AD$77)+SUMIF(SPV4!$E$6:$AD$6,AF$5,SPV4!$E$77:$AD$77)</f>
        <v>0</v>
      </c>
      <c r="AG21" s="57" t="n">
        <f aca="false">SUMIF(SPV3!$E$6:$AD$6,AG$5,SPV3!$E$77:$AD$77)+SUMIF(SPV4!$E$6:$AD$6,AG$5,SPV4!$E$77:$AD$77)</f>
        <v>0</v>
      </c>
      <c r="AH21" s="57" t="n">
        <f aca="false">SUMIF(SPV3!$E$6:$AD$6,AH$5,SPV3!$E$77:$AD$77)+SUMIF(SPV4!$E$6:$AD$6,AH$5,SPV4!$E$77:$AD$77)</f>
        <v>0</v>
      </c>
    </row>
    <row r="22" customFormat="false" ht="15" hidden="false" customHeight="true" outlineLevel="0" collapsed="false">
      <c r="B22" s="4" t="s">
        <v>795</v>
      </c>
      <c r="D22" s="59" t="n">
        <f aca="false">SUM(E22:AH22)</f>
        <v>0</v>
      </c>
      <c r="E22" s="57" t="n">
        <f aca="false">SUMIF(SPV3!$E$6:$AD$6,E$5,SPV3!$E$80:$AD$80)+SUMIF(SPV4!$E$6:$AD$6,E$5,SPV4!$E$80:$AD$80)</f>
        <v>0</v>
      </c>
      <c r="F22" s="57" t="n">
        <f aca="false">SUMIF(SPV3!$E$6:$AD$6,F$5,SPV3!$E$80:$AD$80)+SUMIF(SPV4!$E$6:$AD$6,F$5,SPV4!$E$80:$AD$80)</f>
        <v>0</v>
      </c>
      <c r="G22" s="57" t="n">
        <f aca="false">SUMIF(SPV3!$E$6:$AD$6,G$5,SPV3!$E$80:$AD$80)+SUMIF(SPV4!$E$6:$AD$6,G$5,SPV4!$E$80:$AD$80)</f>
        <v>0</v>
      </c>
      <c r="H22" s="57" t="n">
        <f aca="false">SUMIF(SPV3!$E$6:$AD$6,H$5,SPV3!$E$80:$AD$80)+SUMIF(SPV4!$E$6:$AD$6,H$5,SPV4!$E$80:$AD$80)</f>
        <v>0</v>
      </c>
      <c r="I22" s="57" t="n">
        <f aca="false">SUMIF(SPV3!$E$6:$AD$6,I$5,SPV3!$E$80:$AD$80)+SUMIF(SPV4!$E$6:$AD$6,I$5,SPV4!$E$80:$AD$80)</f>
        <v>0</v>
      </c>
      <c r="J22" s="57" t="n">
        <f aca="false">SUMIF(SPV3!$E$6:$AD$6,J$5,SPV3!$E$80:$AD$80)+SUMIF(SPV4!$E$6:$AD$6,J$5,SPV4!$E$80:$AD$80)</f>
        <v>0</v>
      </c>
      <c r="K22" s="57" t="n">
        <f aca="false">SUMIF(SPV3!$E$6:$AD$6,K$5,SPV3!$E$80:$AD$80)+SUMIF(SPV4!$E$6:$AD$6,K$5,SPV4!$E$80:$AD$80)</f>
        <v>0</v>
      </c>
      <c r="L22" s="57" t="n">
        <f aca="false">SUMIF(SPV3!$E$6:$AD$6,L$5,SPV3!$E$80:$AD$80)+SUMIF(SPV4!$E$6:$AD$6,L$5,SPV4!$E$80:$AD$80)</f>
        <v>0</v>
      </c>
      <c r="M22" s="57" t="n">
        <f aca="false">SUMIF(SPV3!$E$6:$AD$6,M$5,SPV3!$E$80:$AD$80)+SUMIF(SPV4!$E$6:$AD$6,M$5,SPV4!$E$80:$AD$80)</f>
        <v>0</v>
      </c>
      <c r="N22" s="57" t="n">
        <f aca="false">SUMIF(SPV3!$E$6:$AD$6,N$5,SPV3!$E$80:$AD$80)+SUMIF(SPV4!$E$6:$AD$6,N$5,SPV4!$E$80:$AD$80)</f>
        <v>0</v>
      </c>
      <c r="O22" s="57" t="n">
        <f aca="false">SUMIF(SPV3!$E$6:$AD$6,O$5,SPV3!$E$80:$AD$80)+SUMIF(SPV4!$E$6:$AD$6,O$5,SPV4!$E$80:$AD$80)</f>
        <v>0</v>
      </c>
      <c r="P22" s="57" t="n">
        <f aca="false">SUMIF(SPV3!$E$6:$AD$6,P$5,SPV3!$E$80:$AD$80)+SUMIF(SPV4!$E$6:$AD$6,P$5,SPV4!$E$80:$AD$80)</f>
        <v>0</v>
      </c>
      <c r="Q22" s="57" t="n">
        <f aca="false">SUMIF(SPV3!$E$6:$AD$6,Q$5,SPV3!$E$80:$AD$80)+SUMIF(SPV4!$E$6:$AD$6,Q$5,SPV4!$E$80:$AD$80)</f>
        <v>0</v>
      </c>
      <c r="R22" s="57" t="n">
        <f aca="false">SUMIF(SPV3!$E$6:$AD$6,R$5,SPV3!$E$80:$AD$80)+SUMIF(SPV4!$E$6:$AD$6,R$5,SPV4!$E$80:$AD$80)</f>
        <v>0</v>
      </c>
      <c r="S22" s="57" t="n">
        <f aca="false">SUMIF(SPV3!$E$6:$AD$6,S$5,SPV3!$E$80:$AD$80)+SUMIF(SPV4!$E$6:$AD$6,S$5,SPV4!$E$80:$AD$80)</f>
        <v>0</v>
      </c>
      <c r="T22" s="57" t="n">
        <f aca="false">SUMIF(SPV3!$E$6:$AD$6,T$5,SPV3!$E$80:$AD$80)+SUMIF(SPV4!$E$6:$AD$6,T$5,SPV4!$E$80:$AD$80)</f>
        <v>0</v>
      </c>
      <c r="U22" s="57" t="n">
        <f aca="false">SUMIF(SPV3!$E$6:$AD$6,U$5,SPV3!$E$80:$AD$80)+SUMIF(SPV4!$E$6:$AD$6,U$5,SPV4!$E$80:$AD$80)</f>
        <v>0</v>
      </c>
      <c r="V22" s="57" t="n">
        <f aca="false">SUMIF(SPV3!$E$6:$AD$6,V$5,SPV3!$E$80:$AD$80)+SUMIF(SPV4!$E$6:$AD$6,V$5,SPV4!$E$80:$AD$80)</f>
        <v>0</v>
      </c>
      <c r="W22" s="57" t="n">
        <f aca="false">SUMIF(SPV3!$E$6:$AD$6,W$5,SPV3!$E$80:$AD$80)+SUMIF(SPV4!$E$6:$AD$6,W$5,SPV4!$E$80:$AD$80)</f>
        <v>0</v>
      </c>
      <c r="X22" s="57" t="n">
        <f aca="false">SUMIF(SPV3!$E$6:$AD$6,X$5,SPV3!$E$80:$AD$80)+SUMIF(SPV4!$E$6:$AD$6,X$5,SPV4!$E$80:$AD$80)</f>
        <v>0</v>
      </c>
      <c r="Y22" s="57" t="n">
        <f aca="false">SUMIF(SPV3!$E$6:$AD$6,Y$5,SPV3!$E$80:$AD$80)+SUMIF(SPV4!$E$6:$AD$6,Y$5,SPV4!$E$80:$AD$80)</f>
        <v>0</v>
      </c>
      <c r="Z22" s="57" t="n">
        <f aca="false">SUMIF(SPV3!$E$6:$AD$6,Z$5,SPV3!$E$80:$AD$80)+SUMIF(SPV4!$E$6:$AD$6,Z$5,SPV4!$E$80:$AD$80)</f>
        <v>0</v>
      </c>
      <c r="AA22" s="57" t="n">
        <f aca="false">SUMIF(SPV3!$E$6:$AD$6,AA$5,SPV3!$E$80:$AD$80)+SUMIF(SPV4!$E$6:$AD$6,AA$5,SPV4!$E$80:$AD$80)</f>
        <v>0</v>
      </c>
      <c r="AB22" s="57" t="n">
        <f aca="false">SUMIF(SPV3!$E$6:$AD$6,AB$5,SPV3!$E$80:$AD$80)+SUMIF(SPV4!$E$6:$AD$6,AB$5,SPV4!$E$80:$AD$80)</f>
        <v>0</v>
      </c>
      <c r="AC22" s="57" t="n">
        <f aca="false">SUMIF(SPV3!$E$6:$AD$6,AC$5,SPV3!$E$80:$AD$80)+SUMIF(SPV4!$E$6:$AD$6,AC$5,SPV4!$E$80:$AD$80)</f>
        <v>0</v>
      </c>
      <c r="AD22" s="57" t="n">
        <f aca="false">SUMIF(SPV3!$E$6:$AD$6,AD$5,SPV3!$E$80:$AD$80)+SUMIF(SPV4!$E$6:$AD$6,AD$5,SPV4!$E$80:$AD$80)</f>
        <v>0</v>
      </c>
      <c r="AE22" s="57" t="n">
        <f aca="false">SUMIF(SPV3!$E$6:$AD$6,AE$5,SPV3!$E$80:$AD$80)+SUMIF(SPV4!$E$6:$AD$6,AE$5,SPV4!$E$80:$AD$80)</f>
        <v>0</v>
      </c>
      <c r="AF22" s="57" t="n">
        <f aca="false">SUMIF(SPV3!$E$6:$AD$6,AF$5,SPV3!$E$80:$AD$80)+SUMIF(SPV4!$E$6:$AD$6,AF$5,SPV4!$E$80:$AD$80)</f>
        <v>0</v>
      </c>
      <c r="AG22" s="57" t="n">
        <f aca="false">SUMIF(SPV3!$E$6:$AD$6,AG$5,SPV3!$E$80:$AD$80)+SUMIF(SPV4!$E$6:$AD$6,AG$5,SPV4!$E$80:$AD$80)</f>
        <v>0</v>
      </c>
      <c r="AH22" s="57" t="n">
        <f aca="false">SUMIF(SPV3!$E$6:$AD$6,AH$5,SPV3!$E$80:$AD$80)+SUMIF(SPV4!$E$6:$AD$6,AH$5,SPV4!$E$80:$AD$80)</f>
        <v>0</v>
      </c>
    </row>
    <row r="23" customFormat="false" ht="15" hidden="false" customHeight="true" outlineLevel="0" collapsed="false">
      <c r="B23" s="4" t="s">
        <v>796</v>
      </c>
      <c r="D23" s="59" t="n">
        <f aca="false">SUM(E23:AH23)</f>
        <v>4.21875</v>
      </c>
      <c r="E23" s="57" t="n">
        <f aca="false">IF(E5=Inputs!$C$7+Inputs!$C$69,'Sources &amp; Uses'!$C$39,0)+IF(E5=Inputs!$D$7+Inputs!$D$69,'Sources &amp; Uses'!$D$39,0)</f>
        <v>0</v>
      </c>
      <c r="F23" s="57" t="n">
        <f aca="false">IF(F5=Inputs!$C$7+Inputs!$C$69,'Sources &amp; Uses'!$C$39,0)+IF(F5=Inputs!$D$7+Inputs!$D$69,'Sources &amp; Uses'!$D$39,0)</f>
        <v>0</v>
      </c>
      <c r="G23" s="57" t="n">
        <f aca="false">IF(G5=Inputs!$C$7+Inputs!$C$69,'Sources &amp; Uses'!$C$39,0)+IF(G5=Inputs!$D$7+Inputs!$D$69,'Sources &amp; Uses'!$D$39,0)</f>
        <v>1.40625</v>
      </c>
      <c r="H23" s="57" t="n">
        <f aca="false">IF(H5=Inputs!$C$7+Inputs!$C$69,'Sources &amp; Uses'!$C$39,0)+IF(H5=Inputs!$D$7+Inputs!$D$69,'Sources &amp; Uses'!$D$39,0)</f>
        <v>2.8125</v>
      </c>
      <c r="I23" s="57" t="n">
        <f aca="false">IF(I5=Inputs!$C$7+Inputs!$C$69,'Sources &amp; Uses'!$C$39,0)+IF(I5=Inputs!$D$7+Inputs!$D$69,'Sources &amp; Uses'!$D$39,0)</f>
        <v>0</v>
      </c>
      <c r="J23" s="57" t="n">
        <f aca="false">IF(J5=Inputs!$C$7+Inputs!$C$69,'Sources &amp; Uses'!$C$39,0)+IF(J5=Inputs!$D$7+Inputs!$D$69,'Sources &amp; Uses'!$D$39,0)</f>
        <v>0</v>
      </c>
      <c r="K23" s="57" t="n">
        <f aca="false">IF(K5=Inputs!$C$7+Inputs!$C$69,'Sources &amp; Uses'!$C$39,0)+IF(K5=Inputs!$D$7+Inputs!$D$69,'Sources &amp; Uses'!$D$39,0)</f>
        <v>0</v>
      </c>
      <c r="L23" s="57" t="n">
        <f aca="false">IF(L5=Inputs!$C$7+Inputs!$C$69,'Sources &amp; Uses'!$C$39,0)+IF(L5=Inputs!$D$7+Inputs!$D$69,'Sources &amp; Uses'!$D$39,0)</f>
        <v>0</v>
      </c>
      <c r="M23" s="57" t="n">
        <f aca="false">IF(M5=Inputs!$C$7+Inputs!$C$69,'Sources &amp; Uses'!$C$39,0)+IF(M5=Inputs!$D$7+Inputs!$D$69,'Sources &amp; Uses'!$D$39,0)</f>
        <v>0</v>
      </c>
      <c r="N23" s="57" t="n">
        <f aca="false">IF(N5=Inputs!$C$7+Inputs!$C$69,'Sources &amp; Uses'!$C$39,0)+IF(N5=Inputs!$D$7+Inputs!$D$69,'Sources &amp; Uses'!$D$39,0)</f>
        <v>0</v>
      </c>
      <c r="O23" s="57" t="n">
        <f aca="false">IF(O5=Inputs!$C$7+Inputs!$C$69,'Sources &amp; Uses'!$C$39,0)+IF(O5=Inputs!$D$7+Inputs!$D$69,'Sources &amp; Uses'!$D$39,0)</f>
        <v>0</v>
      </c>
      <c r="P23" s="57" t="n">
        <f aca="false">IF(P5=Inputs!$C$7+Inputs!$C$69,'Sources &amp; Uses'!$C$39,0)+IF(P5=Inputs!$D$7+Inputs!$D$69,'Sources &amp; Uses'!$D$39,0)</f>
        <v>0</v>
      </c>
      <c r="Q23" s="57" t="n">
        <f aca="false">IF(Q5=Inputs!$C$7+Inputs!$C$69,'Sources &amp; Uses'!$C$39,0)+IF(Q5=Inputs!$D$7+Inputs!$D$69,'Sources &amp; Uses'!$D$39,0)</f>
        <v>0</v>
      </c>
      <c r="R23" s="57" t="n">
        <f aca="false">IF(R5=Inputs!$C$7+Inputs!$C$69,'Sources &amp; Uses'!$C$39,0)+IF(R5=Inputs!$D$7+Inputs!$D$69,'Sources &amp; Uses'!$D$39,0)</f>
        <v>0</v>
      </c>
      <c r="S23" s="57" t="n">
        <f aca="false">IF(S5=Inputs!$C$7+Inputs!$C$69,'Sources &amp; Uses'!$C$39,0)+IF(S5=Inputs!$D$7+Inputs!$D$69,'Sources &amp; Uses'!$D$39,0)</f>
        <v>0</v>
      </c>
      <c r="T23" s="57" t="n">
        <f aca="false">IF(T5=Inputs!$C$7+Inputs!$C$69,'Sources &amp; Uses'!$C$39,0)+IF(T5=Inputs!$D$7+Inputs!$D$69,'Sources &amp; Uses'!$D$39,0)</f>
        <v>0</v>
      </c>
      <c r="U23" s="57" t="n">
        <f aca="false">IF(U5=Inputs!$C$7+Inputs!$C$69,'Sources &amp; Uses'!$C$39,0)+IF(U5=Inputs!$D$7+Inputs!$D$69,'Sources &amp; Uses'!$D$39,0)</f>
        <v>0</v>
      </c>
      <c r="V23" s="57" t="n">
        <f aca="false">IF(V5=Inputs!$C$7+Inputs!$C$69,'Sources &amp; Uses'!$C$39,0)+IF(V5=Inputs!$D$7+Inputs!$D$69,'Sources &amp; Uses'!$D$39,0)</f>
        <v>0</v>
      </c>
      <c r="W23" s="57" t="n">
        <f aca="false">IF(W5=Inputs!$C$7+Inputs!$C$69,'Sources &amp; Uses'!$C$39,0)+IF(W5=Inputs!$D$7+Inputs!$D$69,'Sources &amp; Uses'!$D$39,0)</f>
        <v>0</v>
      </c>
      <c r="X23" s="57" t="n">
        <f aca="false">IF(X5=Inputs!$C$7+Inputs!$C$69,'Sources &amp; Uses'!$C$39,0)+IF(X5=Inputs!$D$7+Inputs!$D$69,'Sources &amp; Uses'!$D$39,0)</f>
        <v>0</v>
      </c>
      <c r="Y23" s="57" t="n">
        <f aca="false">IF(Y5=Inputs!$C$7+Inputs!$C$69,'Sources &amp; Uses'!$C$39,0)+IF(Y5=Inputs!$D$7+Inputs!$D$69,'Sources &amp; Uses'!$D$39,0)</f>
        <v>0</v>
      </c>
      <c r="Z23" s="57" t="n">
        <f aca="false">IF(Z5=Inputs!$C$7+Inputs!$C$69,'Sources &amp; Uses'!$C$39,0)+IF(Z5=Inputs!$D$7+Inputs!$D$69,'Sources &amp; Uses'!$D$39,0)</f>
        <v>0</v>
      </c>
      <c r="AA23" s="57" t="n">
        <f aca="false">IF(AA5=Inputs!$C$7+Inputs!$C$69,'Sources &amp; Uses'!$C$39,0)+IF(AA5=Inputs!$D$7+Inputs!$D$69,'Sources &amp; Uses'!$D$39,0)</f>
        <v>0</v>
      </c>
      <c r="AB23" s="57" t="n">
        <f aca="false">IF(AB5=Inputs!$C$7+Inputs!$C$69,'Sources &amp; Uses'!$C$39,0)+IF(AB5=Inputs!$D$7+Inputs!$D$69,'Sources &amp; Uses'!$D$39,0)</f>
        <v>0</v>
      </c>
      <c r="AC23" s="57" t="n">
        <f aca="false">IF(AC5=Inputs!$C$7+Inputs!$C$69,'Sources &amp; Uses'!$C$39,0)+IF(AC5=Inputs!$D$7+Inputs!$D$69,'Sources &amp; Uses'!$D$39,0)</f>
        <v>0</v>
      </c>
      <c r="AD23" s="57" t="n">
        <f aca="false">IF(AD5=Inputs!$C$7+Inputs!$C$69,'Sources &amp; Uses'!$C$39,0)+IF(AD5=Inputs!$D$7+Inputs!$D$69,'Sources &amp; Uses'!$D$39,0)</f>
        <v>0</v>
      </c>
      <c r="AE23" s="57" t="n">
        <f aca="false">IF(AE5=Inputs!$C$7+Inputs!$C$69,'Sources &amp; Uses'!$C$39,0)+IF(AE5=Inputs!$D$7+Inputs!$D$69,'Sources &amp; Uses'!$D$39,0)</f>
        <v>0</v>
      </c>
      <c r="AF23" s="57" t="n">
        <f aca="false">IF(AF5=Inputs!$C$7+Inputs!$C$69,'Sources &amp; Uses'!$C$39,0)+IF(AF5=Inputs!$D$7+Inputs!$D$69,'Sources &amp; Uses'!$D$39,0)</f>
        <v>0</v>
      </c>
      <c r="AG23" s="57" t="n">
        <f aca="false">IF(AG5=Inputs!$C$7+Inputs!$C$69,'Sources &amp; Uses'!$C$39,0)+IF(AG5=Inputs!$D$7+Inputs!$D$69,'Sources &amp; Uses'!$D$39,0)</f>
        <v>0</v>
      </c>
      <c r="AH23" s="57" t="n">
        <f aca="false">IF(AH5=Inputs!$C$7+Inputs!$C$69,'Sources &amp; Uses'!$C$39,0)+IF(AH5=Inputs!$D$7+Inputs!$D$69,'Sources &amp; Uses'!$D$39,0)</f>
        <v>0</v>
      </c>
    </row>
    <row r="24" customFormat="false" ht="15" hidden="false" customHeight="true" outlineLevel="0" collapsed="false">
      <c r="B24" s="40" t="s">
        <v>797</v>
      </c>
      <c r="D24" s="59" t="n">
        <f aca="false">SUM(E24:AH24)</f>
        <v>514.73643399894</v>
      </c>
      <c r="E24" s="57" t="n">
        <f aca="false">SUM(E18:E23)</f>
        <v>0</v>
      </c>
      <c r="F24" s="57" t="n">
        <f aca="false">SUM(F18:F23)</f>
        <v>0</v>
      </c>
      <c r="G24" s="57" t="n">
        <f aca="false">SUM(G18:G23)</f>
        <v>3.54715849965078</v>
      </c>
      <c r="H24" s="57" t="n">
        <f aca="false">SUM(H18:H23)</f>
        <v>7.87518374338512</v>
      </c>
      <c r="I24" s="57" t="n">
        <f aca="false">SUM(I18:I23)</f>
        <v>9.81567987357477</v>
      </c>
      <c r="J24" s="57" t="n">
        <f aca="false">SUM(J18:J23)</f>
        <v>9.81567987357477</v>
      </c>
      <c r="K24" s="57" t="n">
        <f aca="false">SUM(K18:K23)</f>
        <v>9.81567987357477</v>
      </c>
      <c r="L24" s="57" t="n">
        <f aca="false">SUM(L18:L23)</f>
        <v>9.81567987357477</v>
      </c>
      <c r="M24" s="57" t="n">
        <f aca="false">SUM(M18:M23)</f>
        <v>9.81567987357477</v>
      </c>
      <c r="N24" s="57" t="n">
        <f aca="false">SUM(N18:N23)</f>
        <v>9.81567987357477</v>
      </c>
      <c r="O24" s="57" t="n">
        <f aca="false">SUM(O18:O23)</f>
        <v>9.81567987357477</v>
      </c>
      <c r="P24" s="57" t="n">
        <f aca="false">SUM(P18:P23)</f>
        <v>9.81567987357477</v>
      </c>
      <c r="Q24" s="57" t="n">
        <f aca="false">SUM(Q18:Q23)</f>
        <v>27.3146816474308</v>
      </c>
      <c r="R24" s="57" t="n">
        <f aca="false">SUM(R18:R23)</f>
        <v>44.3240513611463</v>
      </c>
      <c r="S24" s="57" t="n">
        <f aca="false">SUM(S18:S23)</f>
        <v>22.4274243360747</v>
      </c>
      <c r="T24" s="57" t="n">
        <f aca="false">SUM(T18:T23)</f>
        <v>30.898479909005</v>
      </c>
      <c r="U24" s="57" t="n">
        <f aca="false">SUM(U18:U23)</f>
        <v>27.7863106869037</v>
      </c>
      <c r="V24" s="57" t="n">
        <f aca="false">SUM(V18:V23)</f>
        <v>27.2789638526528</v>
      </c>
      <c r="W24" s="57" t="n">
        <f aca="false">SUM(W18:W23)</f>
        <v>26.9237578314602</v>
      </c>
      <c r="X24" s="57" t="n">
        <f aca="false">SUM(X18:X23)</f>
        <v>26.6600394897851</v>
      </c>
      <c r="Y24" s="57" t="n">
        <f aca="false">SUM(Y18:Y23)</f>
        <v>26.4514161347365</v>
      </c>
      <c r="Z24" s="57" t="n">
        <f aca="false">SUM(Z18:Z23)</f>
        <v>26.2760513410638</v>
      </c>
      <c r="AA24" s="57" t="n">
        <f aca="false">SUM(AA18:AA23)</f>
        <v>26.1208424473393</v>
      </c>
      <c r="AB24" s="57" t="n">
        <f aca="false">SUM(AB18:AB23)</f>
        <v>25.9779270536538</v>
      </c>
      <c r="AC24" s="57" t="n">
        <f aca="false">SUM(AC18:AC23)</f>
        <v>25.8425869202215</v>
      </c>
      <c r="AD24" s="57" t="n">
        <f aca="false">SUM(AD18:AD23)</f>
        <v>25.71199030653</v>
      </c>
      <c r="AE24" s="57" t="n">
        <f aca="false">SUM(AE18:AE23)</f>
        <v>22.0432653059082</v>
      </c>
      <c r="AF24" s="57" t="n">
        <f aca="false">SUM(AF18:AF23)</f>
        <v>12.750864143394</v>
      </c>
      <c r="AG24" s="57" t="n">
        <f aca="false">SUM(AG18:AG23)</f>
        <v>0</v>
      </c>
      <c r="AH24" s="57" t="n">
        <f aca="false">SUM(AH18:AH23)</f>
        <v>0</v>
      </c>
    </row>
    <row r="25" customFormat="false" ht="15" hidden="false" customHeight="true" outlineLevel="0" collapsed="false">
      <c r="B25" s="40" t="s">
        <v>798</v>
      </c>
      <c r="D25" s="59" t="n">
        <f aca="false">SUM(E25:AH25)</f>
        <v>98.1286861293178</v>
      </c>
      <c r="E25" s="57" t="n">
        <f aca="false">MAX(0,E16-E24)</f>
        <v>5.59125</v>
      </c>
      <c r="F25" s="57" t="n">
        <f aca="false">MAX(0,F16-F24)</f>
        <v>39.2824656049047</v>
      </c>
      <c r="G25" s="57" t="n">
        <f aca="false">MAX(0,G16-G24)</f>
        <v>53.2549705244131</v>
      </c>
      <c r="H25" s="57" t="n">
        <f aca="false">MAX(0,H16-H24)</f>
        <v>0</v>
      </c>
      <c r="I25" s="57" t="n">
        <f aca="false">MAX(0,I16-I24)</f>
        <v>0</v>
      </c>
      <c r="J25" s="57" t="n">
        <f aca="false">MAX(0,J16-J24)</f>
        <v>0</v>
      </c>
      <c r="K25" s="57" t="n">
        <f aca="false">MAX(0,K16-K24)</f>
        <v>0</v>
      </c>
      <c r="L25" s="57" t="n">
        <f aca="false">MAX(0,L16-L24)</f>
        <v>0</v>
      </c>
      <c r="M25" s="57" t="n">
        <f aca="false">MAX(0,M16-M24)</f>
        <v>0</v>
      </c>
      <c r="N25" s="57" t="n">
        <f aca="false">MAX(0,N16-N24)</f>
        <v>0</v>
      </c>
      <c r="O25" s="57" t="n">
        <f aca="false">MAX(0,O16-O24)</f>
        <v>0</v>
      </c>
      <c r="P25" s="57" t="n">
        <f aca="false">MAX(0,P16-P24)</f>
        <v>0</v>
      </c>
      <c r="Q25" s="57" t="n">
        <f aca="false">MAX(0,Q16-Q24)</f>
        <v>0</v>
      </c>
      <c r="R25" s="57" t="n">
        <f aca="false">MAX(0,R16-R24)</f>
        <v>0</v>
      </c>
      <c r="S25" s="57" t="n">
        <f aca="false">MAX(0,S16-S24)</f>
        <v>0</v>
      </c>
      <c r="T25" s="57" t="n">
        <f aca="false">MAX(0,T16-T24)</f>
        <v>0</v>
      </c>
      <c r="U25" s="57" t="n">
        <f aca="false">MAX(0,U16-U24)</f>
        <v>0</v>
      </c>
      <c r="V25" s="57" t="n">
        <f aca="false">MAX(0,V16-V24)</f>
        <v>0</v>
      </c>
      <c r="W25" s="57" t="n">
        <f aca="false">MAX(0,W16-W24)</f>
        <v>0</v>
      </c>
      <c r="X25" s="57" t="n">
        <f aca="false">MAX(0,X16-X24)</f>
        <v>0</v>
      </c>
      <c r="Y25" s="57" t="n">
        <f aca="false">MAX(0,Y16-Y24)</f>
        <v>0</v>
      </c>
      <c r="Z25" s="57" t="n">
        <f aca="false">MAX(0,Z16-Z24)</f>
        <v>0</v>
      </c>
      <c r="AA25" s="57" t="n">
        <f aca="false">MAX(0,AA16-AA24)</f>
        <v>0</v>
      </c>
      <c r="AB25" s="57" t="n">
        <f aca="false">MAX(0,AB16-AB24)</f>
        <v>0</v>
      </c>
      <c r="AC25" s="57" t="n">
        <f aca="false">MAX(0,AC16-AC24)</f>
        <v>0</v>
      </c>
      <c r="AD25" s="57" t="n">
        <f aca="false">MAX(0,AD16-AD24)</f>
        <v>0</v>
      </c>
      <c r="AE25" s="57" t="n">
        <f aca="false">MAX(0,AE16-AE24)</f>
        <v>0</v>
      </c>
      <c r="AF25" s="57" t="n">
        <f aca="false">MAX(0,AF16-AF24)</f>
        <v>0</v>
      </c>
      <c r="AG25" s="57" t="n">
        <f aca="false">MAX(0,AG16-AG24)</f>
        <v>0</v>
      </c>
      <c r="AH25" s="57" t="n">
        <f aca="false">MAX(0,AH16-AH24)</f>
        <v>0</v>
      </c>
    </row>
    <row r="26" customFormat="false" ht="15" hidden="false" customHeight="true" outlineLevel="0" collapsed="false">
      <c r="B26" s="4" t="s">
        <v>799</v>
      </c>
      <c r="D26" s="59" t="n">
        <f aca="false">SUM(E26:AH26)</f>
        <v>506.189275499289</v>
      </c>
      <c r="E26" s="57" t="n">
        <f aca="false">MAX(0,E24-E16)</f>
        <v>0</v>
      </c>
      <c r="F26" s="57" t="n">
        <f aca="false">MAX(0,F24-F16)</f>
        <v>0</v>
      </c>
      <c r="G26" s="57" t="n">
        <f aca="false">MAX(0,G24-G16)</f>
        <v>0</v>
      </c>
      <c r="H26" s="57" t="n">
        <f aca="false">MAX(0,H24-H16)</f>
        <v>7.67518374338512</v>
      </c>
      <c r="I26" s="57" t="n">
        <f aca="false">MAX(0,I24-I16)</f>
        <v>9.61567987357477</v>
      </c>
      <c r="J26" s="57" t="n">
        <f aca="false">MAX(0,J24-J16)</f>
        <v>9.61567987357477</v>
      </c>
      <c r="K26" s="57" t="n">
        <f aca="false">MAX(0,K24-K16)</f>
        <v>9.61567987357477</v>
      </c>
      <c r="L26" s="57" t="n">
        <f aca="false">MAX(0,L24-L16)</f>
        <v>9.61567987357477</v>
      </c>
      <c r="M26" s="57" t="n">
        <f aca="false">MAX(0,M24-M16)</f>
        <v>9.61567987357477</v>
      </c>
      <c r="N26" s="57" t="n">
        <f aca="false">MAX(0,N24-N16)</f>
        <v>9.61567987357477</v>
      </c>
      <c r="O26" s="57" t="n">
        <f aca="false">MAX(0,O24-O16)</f>
        <v>9.61567987357477</v>
      </c>
      <c r="P26" s="57" t="n">
        <f aca="false">MAX(0,P24-P16)</f>
        <v>9.61567987357477</v>
      </c>
      <c r="Q26" s="57" t="n">
        <f aca="false">MAX(0,Q24-Q16)</f>
        <v>27.1146816474308</v>
      </c>
      <c r="R26" s="57" t="n">
        <f aca="false">MAX(0,R24-R16)</f>
        <v>44.1240513611463</v>
      </c>
      <c r="S26" s="57" t="n">
        <f aca="false">MAX(0,S24-S16)</f>
        <v>22.2274243360747</v>
      </c>
      <c r="T26" s="57" t="n">
        <f aca="false">MAX(0,T24-T16)</f>
        <v>30.698479909005</v>
      </c>
      <c r="U26" s="57" t="n">
        <f aca="false">MAX(0,U24-U16)</f>
        <v>27.5863106869037</v>
      </c>
      <c r="V26" s="57" t="n">
        <f aca="false">MAX(0,V24-V16)</f>
        <v>27.0789638526528</v>
      </c>
      <c r="W26" s="57" t="n">
        <f aca="false">MAX(0,W24-W16)</f>
        <v>26.7237578314602</v>
      </c>
      <c r="X26" s="57" t="n">
        <f aca="false">MAX(0,X24-X16)</f>
        <v>26.4600394897851</v>
      </c>
      <c r="Y26" s="57" t="n">
        <f aca="false">MAX(0,Y24-Y16)</f>
        <v>26.2514161347365</v>
      </c>
      <c r="Z26" s="57" t="n">
        <f aca="false">MAX(0,Z24-Z16)</f>
        <v>26.0760513410638</v>
      </c>
      <c r="AA26" s="57" t="n">
        <f aca="false">MAX(0,AA24-AA16)</f>
        <v>25.9208424473393</v>
      </c>
      <c r="AB26" s="57" t="n">
        <f aca="false">MAX(0,AB24-AB16)</f>
        <v>25.7779270536538</v>
      </c>
      <c r="AC26" s="57" t="n">
        <f aca="false">MAX(0,AC24-AC16)</f>
        <v>25.6425869202215</v>
      </c>
      <c r="AD26" s="57" t="n">
        <f aca="false">MAX(0,AD24-AD16)</f>
        <v>25.51199030653</v>
      </c>
      <c r="AE26" s="57" t="n">
        <f aca="false">MAX(0,AE24-AE16)</f>
        <v>21.8432653059082</v>
      </c>
      <c r="AF26" s="57" t="n">
        <f aca="false">MAX(0,AF24-AF16)</f>
        <v>12.550864143394</v>
      </c>
      <c r="AG26" s="57" t="n">
        <f aca="false">MAX(0,AG24-AG16)</f>
        <v>0</v>
      </c>
      <c r="AH26" s="57" t="n">
        <f aca="false">MAX(0,AH24-AH16)</f>
        <v>0</v>
      </c>
    </row>
    <row r="27" customFormat="false" ht="15" hidden="false" customHeight="true" outlineLevel="0" collapsed="false">
      <c r="B27" s="21" t="s">
        <v>800</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row>
    <row r="28" customFormat="false" ht="15" hidden="false" customHeight="true" outlineLevel="0" collapsed="false">
      <c r="B28" s="4" t="s">
        <v>801</v>
      </c>
      <c r="E28" s="57" t="n">
        <f aca="false">Inputs!$C$72+Inputs!$C$73</f>
        <v>10</v>
      </c>
      <c r="F28" s="57" t="n">
        <f aca="false">E30</f>
        <v>4.40875</v>
      </c>
      <c r="G28" s="57" t="n">
        <f aca="false">F30</f>
        <v>0</v>
      </c>
      <c r="H28" s="57" t="n">
        <f aca="false">G30</f>
        <v>0</v>
      </c>
      <c r="I28" s="57" t="n">
        <f aca="false">H30</f>
        <v>0</v>
      </c>
      <c r="J28" s="57" t="n">
        <f aca="false">I30</f>
        <v>0</v>
      </c>
      <c r="K28" s="57" t="n">
        <f aca="false">J30</f>
        <v>0</v>
      </c>
      <c r="L28" s="57" t="n">
        <f aca="false">K30</f>
        <v>0</v>
      </c>
      <c r="M28" s="57" t="n">
        <f aca="false">L30</f>
        <v>0</v>
      </c>
      <c r="N28" s="57" t="n">
        <f aca="false">M30</f>
        <v>0</v>
      </c>
      <c r="O28" s="57" t="n">
        <f aca="false">N30</f>
        <v>0</v>
      </c>
      <c r="P28" s="57" t="n">
        <f aca="false">O30</f>
        <v>0</v>
      </c>
      <c r="Q28" s="57" t="n">
        <f aca="false">P30</f>
        <v>0</v>
      </c>
      <c r="R28" s="57" t="n">
        <f aca="false">Q30</f>
        <v>0</v>
      </c>
      <c r="S28" s="57" t="n">
        <f aca="false">R30</f>
        <v>0</v>
      </c>
      <c r="T28" s="57" t="n">
        <f aca="false">S30</f>
        <v>0</v>
      </c>
      <c r="U28" s="57" t="n">
        <f aca="false">T30</f>
        <v>0</v>
      </c>
      <c r="V28" s="57" t="n">
        <f aca="false">U30</f>
        <v>0</v>
      </c>
      <c r="W28" s="57" t="n">
        <f aca="false">V30</f>
        <v>0</v>
      </c>
      <c r="X28" s="57" t="n">
        <f aca="false">W30</f>
        <v>0</v>
      </c>
      <c r="Y28" s="57" t="n">
        <f aca="false">X30</f>
        <v>0</v>
      </c>
      <c r="Z28" s="57" t="n">
        <f aca="false">Y30</f>
        <v>0</v>
      </c>
      <c r="AA28" s="57" t="n">
        <f aca="false">Z30</f>
        <v>0</v>
      </c>
      <c r="AB28" s="57" t="n">
        <f aca="false">AA30</f>
        <v>0</v>
      </c>
      <c r="AC28" s="57" t="n">
        <f aca="false">AB30</f>
        <v>0</v>
      </c>
      <c r="AD28" s="57" t="n">
        <f aca="false">AC30</f>
        <v>0</v>
      </c>
      <c r="AE28" s="57" t="n">
        <f aca="false">AD30</f>
        <v>0</v>
      </c>
      <c r="AF28" s="57" t="n">
        <f aca="false">AE30</f>
        <v>0</v>
      </c>
      <c r="AG28" s="57" t="n">
        <f aca="false">AF30</f>
        <v>0</v>
      </c>
      <c r="AH28" s="57" t="n">
        <f aca="false">AG30</f>
        <v>0</v>
      </c>
    </row>
    <row r="29" customFormat="false" ht="15" hidden="false" customHeight="true" outlineLevel="0" collapsed="false">
      <c r="B29" s="4" t="s">
        <v>802</v>
      </c>
      <c r="D29" s="59" t="n">
        <f aca="false">SUM(E29:AH29)</f>
        <v>10</v>
      </c>
      <c r="E29" s="57" t="n">
        <f aca="false">MIN(E25,E28)</f>
        <v>5.59125</v>
      </c>
      <c r="F29" s="57" t="n">
        <f aca="false">MIN(F25,F28)</f>
        <v>4.40875</v>
      </c>
      <c r="G29" s="57" t="n">
        <f aca="false">MIN(G25,G28)</f>
        <v>0</v>
      </c>
      <c r="H29" s="57" t="n">
        <f aca="false">MIN(H25,H28)</f>
        <v>0</v>
      </c>
      <c r="I29" s="57" t="n">
        <f aca="false">MIN(I25,I28)</f>
        <v>0</v>
      </c>
      <c r="J29" s="57" t="n">
        <f aca="false">MIN(J25,J28)</f>
        <v>0</v>
      </c>
      <c r="K29" s="57" t="n">
        <f aca="false">MIN(K25,K28)</f>
        <v>0</v>
      </c>
      <c r="L29" s="57" t="n">
        <f aca="false">MIN(L25,L28)</f>
        <v>0</v>
      </c>
      <c r="M29" s="57" t="n">
        <f aca="false">MIN(M25,M28)</f>
        <v>0</v>
      </c>
      <c r="N29" s="57" t="n">
        <f aca="false">MIN(N25,N28)</f>
        <v>0</v>
      </c>
      <c r="O29" s="57" t="n">
        <f aca="false">MIN(O25,O28)</f>
        <v>0</v>
      </c>
      <c r="P29" s="57" t="n">
        <f aca="false">MIN(P25,P28)</f>
        <v>0</v>
      </c>
      <c r="Q29" s="57" t="n">
        <f aca="false">MIN(Q25,Q28)</f>
        <v>0</v>
      </c>
      <c r="R29" s="57" t="n">
        <f aca="false">MIN(R25,R28)</f>
        <v>0</v>
      </c>
      <c r="S29" s="57" t="n">
        <f aca="false">MIN(S25,S28)</f>
        <v>0</v>
      </c>
      <c r="T29" s="57" t="n">
        <f aca="false">MIN(T25,T28)</f>
        <v>0</v>
      </c>
      <c r="U29" s="57" t="n">
        <f aca="false">MIN(U25,U28)</f>
        <v>0</v>
      </c>
      <c r="V29" s="57" t="n">
        <f aca="false">MIN(V25,V28)</f>
        <v>0</v>
      </c>
      <c r="W29" s="57" t="n">
        <f aca="false">MIN(W25,W28)</f>
        <v>0</v>
      </c>
      <c r="X29" s="57" t="n">
        <f aca="false">MIN(X25,X28)</f>
        <v>0</v>
      </c>
      <c r="Y29" s="57" t="n">
        <f aca="false">MIN(Y25,Y28)</f>
        <v>0</v>
      </c>
      <c r="Z29" s="57" t="n">
        <f aca="false">MIN(Z25,Z28)</f>
        <v>0</v>
      </c>
      <c r="AA29" s="57" t="n">
        <f aca="false">MIN(AA25,AA28)</f>
        <v>0</v>
      </c>
      <c r="AB29" s="57" t="n">
        <f aca="false">MIN(AB25,AB28)</f>
        <v>0</v>
      </c>
      <c r="AC29" s="57" t="n">
        <f aca="false">MIN(AC25,AC28)</f>
        <v>0</v>
      </c>
      <c r="AD29" s="57" t="n">
        <f aca="false">MIN(AD25,AD28)</f>
        <v>0</v>
      </c>
      <c r="AE29" s="57" t="n">
        <f aca="false">MIN(AE25,AE28)</f>
        <v>0</v>
      </c>
      <c r="AF29" s="57" t="n">
        <f aca="false">MIN(AF25,AF28)</f>
        <v>0</v>
      </c>
      <c r="AG29" s="57" t="n">
        <f aca="false">MIN(AG25,AG28)</f>
        <v>0</v>
      </c>
      <c r="AH29" s="57" t="n">
        <f aca="false">MIN(AH25,AH28)</f>
        <v>0</v>
      </c>
    </row>
    <row r="30" customFormat="false" ht="15" hidden="false" customHeight="true" outlineLevel="0" collapsed="false">
      <c r="B30" s="4" t="s">
        <v>803</v>
      </c>
      <c r="E30" s="57" t="n">
        <f aca="false">E28-E29</f>
        <v>4.40875</v>
      </c>
      <c r="F30" s="57" t="n">
        <f aca="false">F28-F29</f>
        <v>0</v>
      </c>
      <c r="G30" s="57" t="n">
        <f aca="false">G28-G29</f>
        <v>0</v>
      </c>
      <c r="H30" s="57" t="n">
        <f aca="false">H28-H29</f>
        <v>0</v>
      </c>
      <c r="I30" s="57" t="n">
        <f aca="false">I28-I29</f>
        <v>0</v>
      </c>
      <c r="J30" s="57" t="n">
        <f aca="false">J28-J29</f>
        <v>0</v>
      </c>
      <c r="K30" s="57" t="n">
        <f aca="false">K28-K29</f>
        <v>0</v>
      </c>
      <c r="L30" s="57" t="n">
        <f aca="false">L28-L29</f>
        <v>0</v>
      </c>
      <c r="M30" s="57" t="n">
        <f aca="false">M28-M29</f>
        <v>0</v>
      </c>
      <c r="N30" s="57" t="n">
        <f aca="false">N28-N29</f>
        <v>0</v>
      </c>
      <c r="O30" s="57" t="n">
        <f aca="false">O28-O29</f>
        <v>0</v>
      </c>
      <c r="P30" s="57" t="n">
        <f aca="false">P28-P29</f>
        <v>0</v>
      </c>
      <c r="Q30" s="57" t="n">
        <f aca="false">Q28-Q29</f>
        <v>0</v>
      </c>
      <c r="R30" s="57" t="n">
        <f aca="false">R28-R29</f>
        <v>0</v>
      </c>
      <c r="S30" s="57" t="n">
        <f aca="false">S28-S29</f>
        <v>0</v>
      </c>
      <c r="T30" s="57" t="n">
        <f aca="false">T28-T29</f>
        <v>0</v>
      </c>
      <c r="U30" s="57" t="n">
        <f aca="false">U28-U29</f>
        <v>0</v>
      </c>
      <c r="V30" s="57" t="n">
        <f aca="false">V28-V29</f>
        <v>0</v>
      </c>
      <c r="W30" s="57" t="n">
        <f aca="false">W28-W29</f>
        <v>0</v>
      </c>
      <c r="X30" s="57" t="n">
        <f aca="false">X28-X29</f>
        <v>0</v>
      </c>
      <c r="Y30" s="57" t="n">
        <f aca="false">Y28-Y29</f>
        <v>0</v>
      </c>
      <c r="Z30" s="57" t="n">
        <f aca="false">Z28-Z29</f>
        <v>0</v>
      </c>
      <c r="AA30" s="57" t="n">
        <f aca="false">AA28-AA29</f>
        <v>0</v>
      </c>
      <c r="AB30" s="57" t="n">
        <f aca="false">AB28-AB29</f>
        <v>0</v>
      </c>
      <c r="AC30" s="57" t="n">
        <f aca="false">AC28-AC29</f>
        <v>0</v>
      </c>
      <c r="AD30" s="57" t="n">
        <f aca="false">AD28-AD29</f>
        <v>0</v>
      </c>
      <c r="AE30" s="57" t="n">
        <f aca="false">AE28-AE29</f>
        <v>0</v>
      </c>
      <c r="AF30" s="57" t="n">
        <f aca="false">AF28-AF29</f>
        <v>0</v>
      </c>
      <c r="AG30" s="57" t="n">
        <f aca="false">AG28-AG29</f>
        <v>0</v>
      </c>
      <c r="AH30" s="57" t="n">
        <f aca="false">AH28-AH29</f>
        <v>0</v>
      </c>
    </row>
    <row r="31" customFormat="false" ht="15" hidden="false" customHeight="true" outlineLevel="0" collapsed="false">
      <c r="B31" s="4" t="s">
        <v>804</v>
      </c>
      <c r="E31" s="57" t="n">
        <f aca="false">E25-E29</f>
        <v>0</v>
      </c>
      <c r="F31" s="57" t="n">
        <f aca="false">F25-F29</f>
        <v>34.8737156049047</v>
      </c>
      <c r="G31" s="57" t="n">
        <f aca="false">G25-G29</f>
        <v>53.2549705244131</v>
      </c>
      <c r="H31" s="57" t="n">
        <f aca="false">H25-H29</f>
        <v>0</v>
      </c>
      <c r="I31" s="57" t="n">
        <f aca="false">I25-I29</f>
        <v>0</v>
      </c>
      <c r="J31" s="57" t="n">
        <f aca="false">J25-J29</f>
        <v>0</v>
      </c>
      <c r="K31" s="57" t="n">
        <f aca="false">K25-K29</f>
        <v>0</v>
      </c>
      <c r="L31" s="57" t="n">
        <f aca="false">L25-L29</f>
        <v>0</v>
      </c>
      <c r="M31" s="57" t="n">
        <f aca="false">M25-M29</f>
        <v>0</v>
      </c>
      <c r="N31" s="57" t="n">
        <f aca="false">N25-N29</f>
        <v>0</v>
      </c>
      <c r="O31" s="57" t="n">
        <f aca="false">O25-O29</f>
        <v>0</v>
      </c>
      <c r="P31" s="57" t="n">
        <f aca="false">P25-P29</f>
        <v>0</v>
      </c>
      <c r="Q31" s="57" t="n">
        <f aca="false">Q25-Q29</f>
        <v>0</v>
      </c>
      <c r="R31" s="57" t="n">
        <f aca="false">R25-R29</f>
        <v>0</v>
      </c>
      <c r="S31" s="57" t="n">
        <f aca="false">S25-S29</f>
        <v>0</v>
      </c>
      <c r="T31" s="57" t="n">
        <f aca="false">T25-T29</f>
        <v>0</v>
      </c>
      <c r="U31" s="57" t="n">
        <f aca="false">U25-U29</f>
        <v>0</v>
      </c>
      <c r="V31" s="57" t="n">
        <f aca="false">V25-V29</f>
        <v>0</v>
      </c>
      <c r="W31" s="57" t="n">
        <f aca="false">W25-W29</f>
        <v>0</v>
      </c>
      <c r="X31" s="57" t="n">
        <f aca="false">X25-X29</f>
        <v>0</v>
      </c>
      <c r="Y31" s="57" t="n">
        <f aca="false">Y25-Y29</f>
        <v>0</v>
      </c>
      <c r="Z31" s="57" t="n">
        <f aca="false">Z25-Z29</f>
        <v>0</v>
      </c>
      <c r="AA31" s="57" t="n">
        <f aca="false">AA25-AA29</f>
        <v>0</v>
      </c>
      <c r="AB31" s="57" t="n">
        <f aca="false">AB25-AB29</f>
        <v>0</v>
      </c>
      <c r="AC31" s="57" t="n">
        <f aca="false">AC25-AC29</f>
        <v>0</v>
      </c>
      <c r="AD31" s="57" t="n">
        <f aca="false">AD25-AD29</f>
        <v>0</v>
      </c>
      <c r="AE31" s="57" t="n">
        <f aca="false">AE25-AE29</f>
        <v>0</v>
      </c>
      <c r="AF31" s="57" t="n">
        <f aca="false">AF25-AF29</f>
        <v>0</v>
      </c>
      <c r="AG31" s="57" t="n">
        <f aca="false">AG25-AG29</f>
        <v>0</v>
      </c>
      <c r="AH31" s="57" t="n">
        <f aca="false">AH25-AH29</f>
        <v>0</v>
      </c>
    </row>
    <row r="32" customFormat="false" ht="15" hidden="false" customHeight="true" outlineLevel="0" collapsed="false">
      <c r="B32" s="4" t="s">
        <v>805</v>
      </c>
      <c r="D32" s="59" t="n">
        <f aca="false">SUM(E32:AH32)</f>
        <v>0</v>
      </c>
      <c r="E32" s="57" t="n">
        <f aca="false">IF(E5=Inputs!$C$93,MIN(E31,Inputs!$C$92),0)</f>
        <v>0</v>
      </c>
      <c r="F32" s="57" t="n">
        <f aca="false">IF(F5=Inputs!$C$93,MIN(F31,Inputs!$C$92),0)</f>
        <v>0</v>
      </c>
      <c r="G32" s="57" t="n">
        <f aca="false">IF(G5=Inputs!$C$93,MIN(G31,Inputs!$C$92),0)</f>
        <v>0</v>
      </c>
      <c r="H32" s="57" t="n">
        <f aca="false">IF(H5=Inputs!$C$93,MIN(H31,Inputs!$C$92),0)</f>
        <v>0</v>
      </c>
      <c r="I32" s="57" t="n">
        <f aca="false">IF(I5=Inputs!$C$93,MIN(I31,Inputs!$C$92),0)</f>
        <v>0</v>
      </c>
      <c r="J32" s="57" t="n">
        <f aca="false">IF(J5=Inputs!$C$93,MIN(J31,Inputs!$C$92),0)</f>
        <v>0</v>
      </c>
      <c r="K32" s="57" t="n">
        <f aca="false">IF(K5=Inputs!$C$93,MIN(K31,Inputs!$C$92),0)</f>
        <v>0</v>
      </c>
      <c r="L32" s="57" t="n">
        <f aca="false">IF(L5=Inputs!$C$93,MIN(L31,Inputs!$C$92),0)</f>
        <v>0</v>
      </c>
      <c r="M32" s="57" t="n">
        <f aca="false">IF(M5=Inputs!$C$93,MIN(M31,Inputs!$C$92),0)</f>
        <v>0</v>
      </c>
      <c r="N32" s="57" t="n">
        <f aca="false">IF(N5=Inputs!$C$93,MIN(N31,Inputs!$C$92),0)</f>
        <v>0</v>
      </c>
      <c r="O32" s="57" t="n">
        <f aca="false">IF(O5=Inputs!$C$93,MIN(O31,Inputs!$C$92),0)</f>
        <v>0</v>
      </c>
      <c r="P32" s="57" t="n">
        <f aca="false">IF(P5=Inputs!$C$93,MIN(P31,Inputs!$C$92),0)</f>
        <v>0</v>
      </c>
      <c r="Q32" s="57" t="n">
        <f aca="false">IF(Q5=Inputs!$C$93,MIN(Q31,Inputs!$C$92),0)</f>
        <v>0</v>
      </c>
      <c r="R32" s="57" t="n">
        <f aca="false">IF(R5=Inputs!$C$93,MIN(R31,Inputs!$C$92),0)</f>
        <v>0</v>
      </c>
      <c r="S32" s="57" t="n">
        <f aca="false">IF(S5=Inputs!$C$93,MIN(S31,Inputs!$C$92),0)</f>
        <v>0</v>
      </c>
      <c r="T32" s="57" t="n">
        <f aca="false">IF(T5=Inputs!$C$93,MIN(T31,Inputs!$C$92),0)</f>
        <v>0</v>
      </c>
      <c r="U32" s="57" t="n">
        <f aca="false">IF(U5=Inputs!$C$93,MIN(U31,Inputs!$C$92),0)</f>
        <v>0</v>
      </c>
      <c r="V32" s="57" t="n">
        <f aca="false">IF(V5=Inputs!$C$93,MIN(V31,Inputs!$C$92),0)</f>
        <v>0</v>
      </c>
      <c r="W32" s="57" t="n">
        <f aca="false">IF(W5=Inputs!$C$93,MIN(W31,Inputs!$C$92),0)</f>
        <v>0</v>
      </c>
      <c r="X32" s="57" t="n">
        <f aca="false">IF(X5=Inputs!$C$93,MIN(X31,Inputs!$C$92),0)</f>
        <v>0</v>
      </c>
      <c r="Y32" s="57" t="n">
        <f aca="false">IF(Y5=Inputs!$C$93,MIN(Y31,Inputs!$C$92),0)</f>
        <v>0</v>
      </c>
      <c r="Z32" s="57" t="n">
        <f aca="false">IF(Z5=Inputs!$C$93,MIN(Z31,Inputs!$C$92),0)</f>
        <v>0</v>
      </c>
      <c r="AA32" s="57" t="n">
        <f aca="false">IF(AA5=Inputs!$C$93,MIN(AA31,Inputs!$C$92),0)</f>
        <v>0</v>
      </c>
      <c r="AB32" s="57" t="n">
        <f aca="false">IF(AB5=Inputs!$C$93,MIN(AB31,Inputs!$C$92),0)</f>
        <v>0</v>
      </c>
      <c r="AC32" s="57" t="n">
        <f aca="false">IF(AC5=Inputs!$C$93,MIN(AC31,Inputs!$C$92),0)</f>
        <v>0</v>
      </c>
      <c r="AD32" s="57" t="n">
        <f aca="false">IF(AD5=Inputs!$C$93,MIN(AD31,Inputs!$C$92),0)</f>
        <v>0</v>
      </c>
      <c r="AE32" s="57" t="n">
        <f aca="false">IF(AE5=Inputs!$C$93,MIN(AE31,Inputs!$C$92),0)</f>
        <v>0</v>
      </c>
      <c r="AF32" s="57" t="n">
        <f aca="false">IF(AF5=Inputs!$C$93,MIN(AF31,Inputs!$C$92),0)</f>
        <v>0</v>
      </c>
      <c r="AG32" s="57" t="n">
        <f aca="false">IF(AG5=Inputs!$C$93,MIN(AG31,Inputs!$C$92),0)</f>
        <v>0</v>
      </c>
      <c r="AH32" s="57" t="n">
        <f aca="false">IF(AH5=Inputs!$C$93,MIN(AH31,Inputs!$C$92),0)</f>
        <v>0</v>
      </c>
    </row>
    <row r="33" customFormat="false" ht="15" hidden="false" customHeight="true" outlineLevel="0" collapsed="false">
      <c r="B33" s="4" t="s">
        <v>806</v>
      </c>
      <c r="E33" s="57" t="n">
        <f aca="false">E31-E32</f>
        <v>0</v>
      </c>
      <c r="F33" s="57" t="n">
        <f aca="false">F31-F32</f>
        <v>34.8737156049047</v>
      </c>
      <c r="G33" s="57" t="n">
        <f aca="false">G31-G32</f>
        <v>53.2549705244131</v>
      </c>
      <c r="H33" s="57" t="n">
        <f aca="false">H31-H32</f>
        <v>0</v>
      </c>
      <c r="I33" s="57" t="n">
        <f aca="false">I31-I32</f>
        <v>0</v>
      </c>
      <c r="J33" s="57" t="n">
        <f aca="false">J31-J32</f>
        <v>0</v>
      </c>
      <c r="K33" s="57" t="n">
        <f aca="false">K31-K32</f>
        <v>0</v>
      </c>
      <c r="L33" s="57" t="n">
        <f aca="false">L31-L32</f>
        <v>0</v>
      </c>
      <c r="M33" s="57" t="n">
        <f aca="false">M31-M32</f>
        <v>0</v>
      </c>
      <c r="N33" s="57" t="n">
        <f aca="false">N31-N32</f>
        <v>0</v>
      </c>
      <c r="O33" s="57" t="n">
        <f aca="false">O31-O32</f>
        <v>0</v>
      </c>
      <c r="P33" s="57" t="n">
        <f aca="false">P31-P32</f>
        <v>0</v>
      </c>
      <c r="Q33" s="57" t="n">
        <f aca="false">Q31-Q32</f>
        <v>0</v>
      </c>
      <c r="R33" s="57" t="n">
        <f aca="false">R31-R32</f>
        <v>0</v>
      </c>
      <c r="S33" s="57" t="n">
        <f aca="false">S31-S32</f>
        <v>0</v>
      </c>
      <c r="T33" s="57" t="n">
        <f aca="false">T31-T32</f>
        <v>0</v>
      </c>
      <c r="U33" s="57" t="n">
        <f aca="false">U31-U32</f>
        <v>0</v>
      </c>
      <c r="V33" s="57" t="n">
        <f aca="false">V31-V32</f>
        <v>0</v>
      </c>
      <c r="W33" s="57" t="n">
        <f aca="false">W31-W32</f>
        <v>0</v>
      </c>
      <c r="X33" s="57" t="n">
        <f aca="false">X31-X32</f>
        <v>0</v>
      </c>
      <c r="Y33" s="57" t="n">
        <f aca="false">Y31-Y32</f>
        <v>0</v>
      </c>
      <c r="Z33" s="57" t="n">
        <f aca="false">Z31-Z32</f>
        <v>0</v>
      </c>
      <c r="AA33" s="57" t="n">
        <f aca="false">AA31-AA32</f>
        <v>0</v>
      </c>
      <c r="AB33" s="57" t="n">
        <f aca="false">AB31-AB32</f>
        <v>0</v>
      </c>
      <c r="AC33" s="57" t="n">
        <f aca="false">AC31-AC32</f>
        <v>0</v>
      </c>
      <c r="AD33" s="57" t="n">
        <f aca="false">AD31-AD32</f>
        <v>0</v>
      </c>
      <c r="AE33" s="57" t="n">
        <f aca="false">AE31-AE32</f>
        <v>0</v>
      </c>
      <c r="AF33" s="57" t="n">
        <f aca="false">AF31-AF32</f>
        <v>0</v>
      </c>
      <c r="AG33" s="57" t="n">
        <f aca="false">AG31-AG32</f>
        <v>0</v>
      </c>
      <c r="AH33" s="57" t="n">
        <f aca="false">AH31-AH32</f>
        <v>0</v>
      </c>
    </row>
    <row r="34" customFormat="false" ht="15" hidden="false" customHeight="true" outlineLevel="0" collapsed="false">
      <c r="B34" s="4" t="s">
        <v>807</v>
      </c>
      <c r="E34" s="57" t="s">
        <v>808</v>
      </c>
      <c r="F34" s="57" t="n">
        <f aca="false">E38</f>
        <v>0</v>
      </c>
      <c r="G34" s="57" t="n">
        <f aca="false">F38</f>
        <v>36.871688894769</v>
      </c>
      <c r="H34" s="57" t="n">
        <f aca="false">G38</f>
        <v>0</v>
      </c>
      <c r="I34" s="57" t="n">
        <f aca="false">H38</f>
        <v>0</v>
      </c>
      <c r="J34" s="57" t="n">
        <f aca="false">I38</f>
        <v>0</v>
      </c>
      <c r="K34" s="57" t="n">
        <f aca="false">J38</f>
        <v>0</v>
      </c>
      <c r="L34" s="57" t="n">
        <f aca="false">K38</f>
        <v>0</v>
      </c>
      <c r="M34" s="57" t="n">
        <f aca="false">L38</f>
        <v>0</v>
      </c>
      <c r="N34" s="57" t="n">
        <f aca="false">M38</f>
        <v>0</v>
      </c>
      <c r="O34" s="57" t="n">
        <f aca="false">N38</f>
        <v>0</v>
      </c>
      <c r="P34" s="57" t="n">
        <f aca="false">O38</f>
        <v>0</v>
      </c>
      <c r="Q34" s="57" t="n">
        <f aca="false">P38</f>
        <v>0</v>
      </c>
      <c r="R34" s="57" t="n">
        <f aca="false">Q38</f>
        <v>0</v>
      </c>
      <c r="S34" s="57" t="n">
        <f aca="false">R38</f>
        <v>0</v>
      </c>
      <c r="T34" s="57" t="n">
        <f aca="false">S38</f>
        <v>0</v>
      </c>
      <c r="U34" s="57" t="n">
        <f aca="false">T38</f>
        <v>0</v>
      </c>
      <c r="V34" s="57" t="n">
        <f aca="false">U38</f>
        <v>0</v>
      </c>
      <c r="W34" s="57" t="n">
        <f aca="false">V38</f>
        <v>0</v>
      </c>
      <c r="X34" s="57" t="n">
        <f aca="false">W38</f>
        <v>0</v>
      </c>
      <c r="Y34" s="57" t="n">
        <f aca="false">X38</f>
        <v>0</v>
      </c>
      <c r="Z34" s="57" t="n">
        <f aca="false">Y38</f>
        <v>0</v>
      </c>
      <c r="AA34" s="57" t="n">
        <f aca="false">Z38</f>
        <v>0</v>
      </c>
      <c r="AB34" s="57" t="n">
        <f aca="false">AA38</f>
        <v>0</v>
      </c>
      <c r="AC34" s="57" t="n">
        <f aca="false">AB38</f>
        <v>0</v>
      </c>
      <c r="AD34" s="57" t="n">
        <f aca="false">AC38</f>
        <v>0</v>
      </c>
      <c r="AE34" s="57" t="n">
        <f aca="false">AD38</f>
        <v>0</v>
      </c>
      <c r="AF34" s="57" t="n">
        <f aca="false">AE38</f>
        <v>0</v>
      </c>
      <c r="AG34" s="57" t="n">
        <f aca="false">AF38</f>
        <v>0</v>
      </c>
      <c r="AH34" s="57" t="n">
        <f aca="false">AG38</f>
        <v>0</v>
      </c>
    </row>
    <row r="35" customFormat="false" ht="15" hidden="false" customHeight="true" outlineLevel="0" collapsed="false">
      <c r="B35" s="4" t="s">
        <v>809</v>
      </c>
      <c r="D35" s="59" t="n">
        <f aca="false">SUM(E35:AH35)</f>
        <v>34.8737156049047</v>
      </c>
      <c r="E35" s="57" t="n">
        <f aca="false">IF(E5&lt;Inputs!$C$77,E33,0)</f>
        <v>0</v>
      </c>
      <c r="F35" s="57" t="n">
        <f aca="false">IF(F5&lt;Inputs!$C$77,F33,0)</f>
        <v>34.8737156049047</v>
      </c>
      <c r="G35" s="57" t="n">
        <f aca="false">IF(G5&lt;Inputs!$C$77,G33,0)</f>
        <v>0</v>
      </c>
      <c r="H35" s="57" t="n">
        <f aca="false">IF(H5&lt;Inputs!$C$77,H33,0)</f>
        <v>0</v>
      </c>
      <c r="I35" s="57" t="n">
        <f aca="false">IF(I5&lt;Inputs!$C$77,I33,0)</f>
        <v>0</v>
      </c>
      <c r="J35" s="57" t="n">
        <f aca="false">IF(J5&lt;Inputs!$C$77,J33,0)</f>
        <v>0</v>
      </c>
      <c r="K35" s="57" t="n">
        <f aca="false">IF(K5&lt;Inputs!$C$77,K33,0)</f>
        <v>0</v>
      </c>
      <c r="L35" s="57" t="n">
        <f aca="false">IF(L5&lt;Inputs!$C$77,L33,0)</f>
        <v>0</v>
      </c>
      <c r="M35" s="57" t="n">
        <f aca="false">IF(M5&lt;Inputs!$C$77,M33,0)</f>
        <v>0</v>
      </c>
      <c r="N35" s="57" t="n">
        <f aca="false">IF(N5&lt;Inputs!$C$77,N33,0)</f>
        <v>0</v>
      </c>
      <c r="O35" s="57" t="n">
        <f aca="false">IF(O5&lt;Inputs!$C$77,O33,0)</f>
        <v>0</v>
      </c>
      <c r="P35" s="57" t="n">
        <f aca="false">IF(P5&lt;Inputs!$C$77,P33,0)</f>
        <v>0</v>
      </c>
      <c r="Q35" s="57" t="n">
        <f aca="false">IF(Q5&lt;Inputs!$C$77,Q33,0)</f>
        <v>0</v>
      </c>
      <c r="R35" s="57" t="n">
        <f aca="false">IF(R5&lt;Inputs!$C$77,R33,0)</f>
        <v>0</v>
      </c>
      <c r="S35" s="57" t="n">
        <f aca="false">IF(S5&lt;Inputs!$C$77,S33,0)</f>
        <v>0</v>
      </c>
      <c r="T35" s="57" t="n">
        <f aca="false">IF(T5&lt;Inputs!$C$77,T33,0)</f>
        <v>0</v>
      </c>
      <c r="U35" s="57" t="n">
        <f aca="false">IF(U5&lt;Inputs!$C$77,U33,0)</f>
        <v>0</v>
      </c>
      <c r="V35" s="57" t="n">
        <f aca="false">IF(V5&lt;Inputs!$C$77,V33,0)</f>
        <v>0</v>
      </c>
      <c r="W35" s="57" t="n">
        <f aca="false">IF(W5&lt;Inputs!$C$77,W33,0)</f>
        <v>0</v>
      </c>
      <c r="X35" s="57" t="n">
        <f aca="false">IF(X5&lt;Inputs!$C$77,X33,0)</f>
        <v>0</v>
      </c>
      <c r="Y35" s="57" t="n">
        <f aca="false">IF(Y5&lt;Inputs!$C$77,Y33,0)</f>
        <v>0</v>
      </c>
      <c r="Z35" s="57" t="n">
        <f aca="false">IF(Z5&lt;Inputs!$C$77,Z33,0)</f>
        <v>0</v>
      </c>
      <c r="AA35" s="57" t="n">
        <f aca="false">IF(AA5&lt;Inputs!$C$77,AA33,0)</f>
        <v>0</v>
      </c>
      <c r="AB35" s="57" t="n">
        <f aca="false">IF(AB5&lt;Inputs!$C$77,AB33,0)</f>
        <v>0</v>
      </c>
      <c r="AC35" s="57" t="n">
        <f aca="false">IF(AC5&lt;Inputs!$C$77,AC33,0)</f>
        <v>0</v>
      </c>
      <c r="AD35" s="57" t="n">
        <f aca="false">IF(AD5&lt;Inputs!$C$77,AD33,0)</f>
        <v>0</v>
      </c>
      <c r="AE35" s="57" t="n">
        <f aca="false">IF(AE5&lt;Inputs!$C$77,AE33,0)</f>
        <v>0</v>
      </c>
      <c r="AF35" s="57" t="n">
        <f aca="false">IF(AF5&lt;Inputs!$C$77,AF33,0)</f>
        <v>0</v>
      </c>
      <c r="AG35" s="57" t="n">
        <f aca="false">IF(AG5&lt;Inputs!$C$77,AG33,0)</f>
        <v>0</v>
      </c>
      <c r="AH35" s="57" t="n">
        <f aca="false">IF(AH5&lt;Inputs!$C$77,AH33,0)</f>
        <v>0</v>
      </c>
    </row>
    <row r="36" customFormat="false" ht="15" hidden="false" customHeight="true" outlineLevel="0" collapsed="false">
      <c r="B36" s="4" t="s">
        <v>810</v>
      </c>
      <c r="D36" s="59" t="n">
        <f aca="false">SUM(E36:AH36)</f>
        <v>1.99797328986433</v>
      </c>
      <c r="E36" s="57" t="n">
        <f aca="false">IF(E5&lt;Inputs!$C$77,Inputs!$C$76*(E34+E35*IF(E5=Inputs!$C$7,'Construction Draws'!$C$38,0.5)),0)</f>
        <v>0</v>
      </c>
      <c r="F36" s="57" t="n">
        <f aca="false">IF(F5&lt;Inputs!$C$77,Inputs!$C$76*(F34+F35*IF(F5=Inputs!$C$7,'Construction Draws'!$C$38,0.5)),0)</f>
        <v>1.99797328986433</v>
      </c>
      <c r="G36" s="57" t="n">
        <f aca="false">IF(G5&lt;Inputs!$C$77,Inputs!$C$76*(G34+G35*IF(G5=Inputs!$C$7,'Construction Draws'!$C$38,0.5)),0)</f>
        <v>0</v>
      </c>
      <c r="H36" s="57" t="n">
        <f aca="false">IF(H5&lt;Inputs!$C$77,Inputs!$C$76*(H34+H35*IF(H5=Inputs!$C$7,'Construction Draws'!$C$38,0.5)),0)</f>
        <v>0</v>
      </c>
      <c r="I36" s="57" t="n">
        <f aca="false">IF(I5&lt;Inputs!$C$77,Inputs!$C$76*(I34+I35*IF(I5=Inputs!$C$7,'Construction Draws'!$C$38,0.5)),0)</f>
        <v>0</v>
      </c>
      <c r="J36" s="57" t="n">
        <f aca="false">IF(J5&lt;Inputs!$C$77,Inputs!$C$76*(J34+J35*IF(J5=Inputs!$C$7,'Construction Draws'!$C$38,0.5)),0)</f>
        <v>0</v>
      </c>
      <c r="K36" s="57" t="n">
        <f aca="false">IF(K5&lt;Inputs!$C$77,Inputs!$C$76*(K34+K35*IF(K5=Inputs!$C$7,'Construction Draws'!$C$38,0.5)),0)</f>
        <v>0</v>
      </c>
      <c r="L36" s="57" t="n">
        <f aca="false">IF(L5&lt;Inputs!$C$77,Inputs!$C$76*(L34+L35*IF(L5=Inputs!$C$7,'Construction Draws'!$C$38,0.5)),0)</f>
        <v>0</v>
      </c>
      <c r="M36" s="57" t="n">
        <f aca="false">IF(M5&lt;Inputs!$C$77,Inputs!$C$76*(M34+M35*IF(M5=Inputs!$C$7,'Construction Draws'!$C$38,0.5)),0)</f>
        <v>0</v>
      </c>
      <c r="N36" s="57" t="n">
        <f aca="false">IF(N5&lt;Inputs!$C$77,Inputs!$C$76*(N34+N35*IF(N5=Inputs!$C$7,'Construction Draws'!$C$38,0.5)),0)</f>
        <v>0</v>
      </c>
      <c r="O36" s="57" t="n">
        <f aca="false">IF(O5&lt;Inputs!$C$77,Inputs!$C$76*(O34+O35*IF(O5=Inputs!$C$7,'Construction Draws'!$C$38,0.5)),0)</f>
        <v>0</v>
      </c>
      <c r="P36" s="57" t="n">
        <f aca="false">IF(P5&lt;Inputs!$C$77,Inputs!$C$76*(P34+P35*IF(P5=Inputs!$C$7,'Construction Draws'!$C$38,0.5)),0)</f>
        <v>0</v>
      </c>
      <c r="Q36" s="57" t="n">
        <f aca="false">IF(Q5&lt;Inputs!$C$77,Inputs!$C$76*(Q34+Q35*IF(Q5=Inputs!$C$7,'Construction Draws'!$C$38,0.5)),0)</f>
        <v>0</v>
      </c>
      <c r="R36" s="57" t="n">
        <f aca="false">IF(R5&lt;Inputs!$C$77,Inputs!$C$76*(R34+R35*IF(R5=Inputs!$C$7,'Construction Draws'!$C$38,0.5)),0)</f>
        <v>0</v>
      </c>
      <c r="S36" s="57" t="n">
        <f aca="false">IF(S5&lt;Inputs!$C$77,Inputs!$C$76*(S34+S35*IF(S5=Inputs!$C$7,'Construction Draws'!$C$38,0.5)),0)</f>
        <v>0</v>
      </c>
      <c r="T36" s="57" t="n">
        <f aca="false">IF(T5&lt;Inputs!$C$77,Inputs!$C$76*(T34+T35*IF(T5=Inputs!$C$7,'Construction Draws'!$C$38,0.5)),0)</f>
        <v>0</v>
      </c>
      <c r="U36" s="57" t="n">
        <f aca="false">IF(U5&lt;Inputs!$C$77,Inputs!$C$76*(U34+U35*IF(U5=Inputs!$C$7,'Construction Draws'!$C$38,0.5)),0)</f>
        <v>0</v>
      </c>
      <c r="V36" s="57" t="n">
        <f aca="false">IF(V5&lt;Inputs!$C$77,Inputs!$C$76*(V34+V35*IF(V5=Inputs!$C$7,'Construction Draws'!$C$38,0.5)),0)</f>
        <v>0</v>
      </c>
      <c r="W36" s="57" t="n">
        <f aca="false">IF(W5&lt;Inputs!$C$77,Inputs!$C$76*(W34+W35*IF(W5=Inputs!$C$7,'Construction Draws'!$C$38,0.5)),0)</f>
        <v>0</v>
      </c>
      <c r="X36" s="57" t="n">
        <f aca="false">IF(X5&lt;Inputs!$C$77,Inputs!$C$76*(X34+X35*IF(X5=Inputs!$C$7,'Construction Draws'!$C$38,0.5)),0)</f>
        <v>0</v>
      </c>
      <c r="Y36" s="57" t="n">
        <f aca="false">IF(Y5&lt;Inputs!$C$77,Inputs!$C$76*(Y34+Y35*IF(Y5=Inputs!$C$7,'Construction Draws'!$C$38,0.5)),0)</f>
        <v>0</v>
      </c>
      <c r="Z36" s="57" t="n">
        <f aca="false">IF(Z5&lt;Inputs!$C$77,Inputs!$C$76*(Z34+Z35*IF(Z5=Inputs!$C$7,'Construction Draws'!$C$38,0.5)),0)</f>
        <v>0</v>
      </c>
      <c r="AA36" s="57" t="n">
        <f aca="false">IF(AA5&lt;Inputs!$C$77,Inputs!$C$76*(AA34+AA35*IF(AA5=Inputs!$C$7,'Construction Draws'!$C$38,0.5)),0)</f>
        <v>0</v>
      </c>
      <c r="AB36" s="57" t="n">
        <f aca="false">IF(AB5&lt;Inputs!$C$77,Inputs!$C$76*(AB34+AB35*IF(AB5=Inputs!$C$7,'Construction Draws'!$C$38,0.5)),0)</f>
        <v>0</v>
      </c>
      <c r="AC36" s="57" t="n">
        <f aca="false">IF(AC5&lt;Inputs!$C$77,Inputs!$C$76*(AC34+AC35*IF(AC5=Inputs!$C$7,'Construction Draws'!$C$38,0.5)),0)</f>
        <v>0</v>
      </c>
      <c r="AD36" s="57" t="n">
        <f aca="false">IF(AD5&lt;Inputs!$C$77,Inputs!$C$76*(AD34+AD35*IF(AD5=Inputs!$C$7,'Construction Draws'!$C$38,0.5)),0)</f>
        <v>0</v>
      </c>
      <c r="AE36" s="57" t="n">
        <f aca="false">IF(AE5&lt;Inputs!$C$77,Inputs!$C$76*(AE34+AE35*IF(AE5=Inputs!$C$7,'Construction Draws'!$C$38,0.5)),0)</f>
        <v>0</v>
      </c>
      <c r="AF36" s="57" t="n">
        <f aca="false">IF(AF5&lt;Inputs!$C$77,Inputs!$C$76*(AF34+AF35*IF(AF5=Inputs!$C$7,'Construction Draws'!$C$38,0.5)),0)</f>
        <v>0</v>
      </c>
      <c r="AG36" s="57" t="n">
        <f aca="false">IF(AG5&lt;Inputs!$C$77,Inputs!$C$76*(AG34+AG35*IF(AG5=Inputs!$C$7,'Construction Draws'!$C$38,0.5)),0)</f>
        <v>0</v>
      </c>
      <c r="AH36" s="57" t="n">
        <f aca="false">IF(AH5&lt;Inputs!$C$77,Inputs!$C$76*(AH34+AH35*IF(AH5=Inputs!$C$7,'Construction Draws'!$C$38,0.5)),0)</f>
        <v>0</v>
      </c>
    </row>
    <row r="37" customFormat="false" ht="15" hidden="false" customHeight="true" outlineLevel="0" collapsed="false">
      <c r="B37" s="4" t="s">
        <v>811</v>
      </c>
      <c r="D37" s="59" t="n">
        <f aca="false">SUM(E37:AH37)</f>
        <v>36.871688894769</v>
      </c>
      <c r="E37" s="57" t="n">
        <f aca="false">IF(E5=Inputs!$C$77,E34,0)</f>
        <v>0</v>
      </c>
      <c r="F37" s="57" t="n">
        <f aca="false">IF(F5=Inputs!$C$77,F34,0)</f>
        <v>0</v>
      </c>
      <c r="G37" s="57" t="n">
        <f aca="false">IF(G5=Inputs!$C$77,G34,0)</f>
        <v>36.871688894769</v>
      </c>
      <c r="H37" s="57" t="n">
        <f aca="false">IF(H5=Inputs!$C$77,H34,0)</f>
        <v>0</v>
      </c>
      <c r="I37" s="57" t="n">
        <f aca="false">IF(I5=Inputs!$C$77,I34,0)</f>
        <v>0</v>
      </c>
      <c r="J37" s="57" t="n">
        <f aca="false">IF(J5=Inputs!$C$77,J34,0)</f>
        <v>0</v>
      </c>
      <c r="K37" s="57" t="n">
        <f aca="false">IF(K5=Inputs!$C$77,K34,0)</f>
        <v>0</v>
      </c>
      <c r="L37" s="57" t="n">
        <f aca="false">IF(L5=Inputs!$C$77,L34,0)</f>
        <v>0</v>
      </c>
      <c r="M37" s="57" t="n">
        <f aca="false">IF(M5=Inputs!$C$77,M34,0)</f>
        <v>0</v>
      </c>
      <c r="N37" s="57" t="n">
        <f aca="false">IF(N5=Inputs!$C$77,N34,0)</f>
        <v>0</v>
      </c>
      <c r="O37" s="57" t="n">
        <f aca="false">IF(O5=Inputs!$C$77,O34,0)</f>
        <v>0</v>
      </c>
      <c r="P37" s="57" t="n">
        <f aca="false">IF(P5=Inputs!$C$77,P34,0)</f>
        <v>0</v>
      </c>
      <c r="Q37" s="57" t="n">
        <f aca="false">IF(Q5=Inputs!$C$77,Q34,0)</f>
        <v>0</v>
      </c>
      <c r="R37" s="57" t="n">
        <f aca="false">IF(R5=Inputs!$C$77,R34,0)</f>
        <v>0</v>
      </c>
      <c r="S37" s="57" t="n">
        <f aca="false">IF(S5=Inputs!$C$77,S34,0)</f>
        <v>0</v>
      </c>
      <c r="T37" s="57" t="n">
        <f aca="false">IF(T5=Inputs!$C$77,T34,0)</f>
        <v>0</v>
      </c>
      <c r="U37" s="57" t="n">
        <f aca="false">IF(U5=Inputs!$C$77,U34,0)</f>
        <v>0</v>
      </c>
      <c r="V37" s="57" t="n">
        <f aca="false">IF(V5=Inputs!$C$77,V34,0)</f>
        <v>0</v>
      </c>
      <c r="W37" s="57" t="n">
        <f aca="false">IF(W5=Inputs!$C$77,W34,0)</f>
        <v>0</v>
      </c>
      <c r="X37" s="57" t="n">
        <f aca="false">IF(X5=Inputs!$C$77,X34,0)</f>
        <v>0</v>
      </c>
      <c r="Y37" s="57" t="n">
        <f aca="false">IF(Y5=Inputs!$C$77,Y34,0)</f>
        <v>0</v>
      </c>
      <c r="Z37" s="57" t="n">
        <f aca="false">IF(Z5=Inputs!$C$77,Z34,0)</f>
        <v>0</v>
      </c>
      <c r="AA37" s="57" t="n">
        <f aca="false">IF(AA5=Inputs!$C$77,AA34,0)</f>
        <v>0</v>
      </c>
      <c r="AB37" s="57" t="n">
        <f aca="false">IF(AB5=Inputs!$C$77,AB34,0)</f>
        <v>0</v>
      </c>
      <c r="AC37" s="57" t="n">
        <f aca="false">IF(AC5=Inputs!$C$77,AC34,0)</f>
        <v>0</v>
      </c>
      <c r="AD37" s="57" t="n">
        <f aca="false">IF(AD5=Inputs!$C$77,AD34,0)</f>
        <v>0</v>
      </c>
      <c r="AE37" s="57" t="n">
        <f aca="false">IF(AE5=Inputs!$C$77,AE34,0)</f>
        <v>0</v>
      </c>
      <c r="AF37" s="57" t="n">
        <f aca="false">IF(AF5=Inputs!$C$77,AF34,0)</f>
        <v>0</v>
      </c>
      <c r="AG37" s="57" t="n">
        <f aca="false">IF(AG5=Inputs!$C$77,AG34,0)</f>
        <v>0</v>
      </c>
      <c r="AH37" s="57" t="n">
        <f aca="false">IF(AH5=Inputs!$C$77,AH34,0)</f>
        <v>0</v>
      </c>
    </row>
    <row r="38" customFormat="false" ht="15" hidden="false" customHeight="true" outlineLevel="0" collapsed="false">
      <c r="B38" s="40" t="s">
        <v>812</v>
      </c>
      <c r="C38" s="3" t="s">
        <v>813</v>
      </c>
      <c r="D38" s="12" t="n">
        <f aca="false">MAX(E38:AH38)</f>
        <v>36.871688894769</v>
      </c>
      <c r="E38" s="57" t="n">
        <f aca="false">E34+E35+E36-E37</f>
        <v>0</v>
      </c>
      <c r="F38" s="57" t="n">
        <f aca="false">F34+F35+F36-F37</f>
        <v>36.871688894769</v>
      </c>
      <c r="G38" s="57" t="n">
        <f aca="false">G34+G35+G36-G37</f>
        <v>0</v>
      </c>
      <c r="H38" s="57" t="n">
        <f aca="false">H34+H35+H36-H37</f>
        <v>0</v>
      </c>
      <c r="I38" s="57" t="n">
        <f aca="false">I34+I35+I36-I37</f>
        <v>0</v>
      </c>
      <c r="J38" s="57" t="n">
        <f aca="false">J34+J35+J36-J37</f>
        <v>0</v>
      </c>
      <c r="K38" s="57" t="n">
        <f aca="false">K34+K35+K36-K37</f>
        <v>0</v>
      </c>
      <c r="L38" s="57" t="n">
        <f aca="false">L34+L35+L36-L37</f>
        <v>0</v>
      </c>
      <c r="M38" s="57" t="n">
        <f aca="false">M34+M35+M36-M37</f>
        <v>0</v>
      </c>
      <c r="N38" s="57" t="n">
        <f aca="false">N34+N35+N36-N37</f>
        <v>0</v>
      </c>
      <c r="O38" s="57" t="n">
        <f aca="false">O34+O35+O36-O37</f>
        <v>0</v>
      </c>
      <c r="P38" s="57" t="n">
        <f aca="false">P34+P35+P36-P37</f>
        <v>0</v>
      </c>
      <c r="Q38" s="57" t="n">
        <f aca="false">Q34+Q35+Q36-Q37</f>
        <v>0</v>
      </c>
      <c r="R38" s="57" t="n">
        <f aca="false">R34+R35+R36-R37</f>
        <v>0</v>
      </c>
      <c r="S38" s="57" t="n">
        <f aca="false">S34+S35+S36-S37</f>
        <v>0</v>
      </c>
      <c r="T38" s="57" t="n">
        <f aca="false">T34+T35+T36-T37</f>
        <v>0</v>
      </c>
      <c r="U38" s="57" t="n">
        <f aca="false">U34+U35+U36-U37</f>
        <v>0</v>
      </c>
      <c r="V38" s="57" t="n">
        <f aca="false">V34+V35+V36-V37</f>
        <v>0</v>
      </c>
      <c r="W38" s="57" t="n">
        <f aca="false">W34+W35+W36-W37</f>
        <v>0</v>
      </c>
      <c r="X38" s="57" t="n">
        <f aca="false">X34+X35+X36-X37</f>
        <v>0</v>
      </c>
      <c r="Y38" s="57" t="n">
        <f aca="false">Y34+Y35+Y36-Y37</f>
        <v>0</v>
      </c>
      <c r="Z38" s="57" t="n">
        <f aca="false">Z34+Z35+Z36-Z37</f>
        <v>0</v>
      </c>
      <c r="AA38" s="57" t="n">
        <f aca="false">AA34+AA35+AA36-AA37</f>
        <v>0</v>
      </c>
      <c r="AB38" s="57" t="n">
        <f aca="false">AB34+AB35+AB36-AB37</f>
        <v>0</v>
      </c>
      <c r="AC38" s="57" t="n">
        <f aca="false">AC34+AC35+AC36-AC37</f>
        <v>0</v>
      </c>
      <c r="AD38" s="57" t="n">
        <f aca="false">AD34+AD35+AD36-AD37</f>
        <v>0</v>
      </c>
      <c r="AE38" s="57" t="n">
        <f aca="false">AE34+AE35+AE36-AE37</f>
        <v>0</v>
      </c>
      <c r="AF38" s="57" t="n">
        <f aca="false">AF34+AF35+AF36-AF37</f>
        <v>0</v>
      </c>
      <c r="AG38" s="57" t="n">
        <f aca="false">AG34+AG35+AG36-AG37</f>
        <v>0</v>
      </c>
      <c r="AH38" s="57" t="n">
        <f aca="false">AH34+AH35+AH36-AH37</f>
        <v>0</v>
      </c>
    </row>
    <row r="39" customFormat="false" ht="15" hidden="false" customHeight="true" outlineLevel="0" collapsed="false">
      <c r="B39" s="40" t="s">
        <v>814</v>
      </c>
      <c r="D39" s="59" t="n">
        <f aca="false">SUM(E39:AH39)</f>
        <v>90.1266594191822</v>
      </c>
      <c r="E39" s="57" t="n">
        <f aca="false">IF(E5&gt;=Inputs!$C$77,E33+E37,0)</f>
        <v>0</v>
      </c>
      <c r="F39" s="57" t="n">
        <f aca="false">IF(F5&gt;=Inputs!$C$77,F33+F37,0)</f>
        <v>0</v>
      </c>
      <c r="G39" s="57" t="n">
        <f aca="false">IF(G5&gt;=Inputs!$C$77,G33+G37,0)</f>
        <v>90.1266594191822</v>
      </c>
      <c r="H39" s="57" t="n">
        <f aca="false">IF(H5&gt;=Inputs!$C$77,H33+H37,0)</f>
        <v>0</v>
      </c>
      <c r="I39" s="57" t="n">
        <f aca="false">IF(I5&gt;=Inputs!$C$77,I33+I37,0)</f>
        <v>0</v>
      </c>
      <c r="J39" s="57" t="n">
        <f aca="false">IF(J5&gt;=Inputs!$C$77,J33+J37,0)</f>
        <v>0</v>
      </c>
      <c r="K39" s="57" t="n">
        <f aca="false">IF(K5&gt;=Inputs!$C$77,K33+K37,0)</f>
        <v>0</v>
      </c>
      <c r="L39" s="57" t="n">
        <f aca="false">IF(L5&gt;=Inputs!$C$77,L33+L37,0)</f>
        <v>0</v>
      </c>
      <c r="M39" s="57" t="n">
        <f aca="false">IF(M5&gt;=Inputs!$C$77,M33+M37,0)</f>
        <v>0</v>
      </c>
      <c r="N39" s="57" t="n">
        <f aca="false">IF(N5&gt;=Inputs!$C$77,N33+N37,0)</f>
        <v>0</v>
      </c>
      <c r="O39" s="57" t="n">
        <f aca="false">IF(O5&gt;=Inputs!$C$77,O33+O37,0)</f>
        <v>0</v>
      </c>
      <c r="P39" s="57" t="n">
        <f aca="false">IF(P5&gt;=Inputs!$C$77,P33+P37,0)</f>
        <v>0</v>
      </c>
      <c r="Q39" s="57" t="n">
        <f aca="false">IF(Q5&gt;=Inputs!$C$77,Q33+Q37,0)</f>
        <v>0</v>
      </c>
      <c r="R39" s="57" t="n">
        <f aca="false">IF(R5&gt;=Inputs!$C$77,R33+R37,0)</f>
        <v>0</v>
      </c>
      <c r="S39" s="57" t="n">
        <f aca="false">IF(S5&gt;=Inputs!$C$77,S33+S37,0)</f>
        <v>0</v>
      </c>
      <c r="T39" s="57" t="n">
        <f aca="false">IF(T5&gt;=Inputs!$C$77,T33+T37,0)</f>
        <v>0</v>
      </c>
      <c r="U39" s="57" t="n">
        <f aca="false">IF(U5&gt;=Inputs!$C$77,U33+U37,0)</f>
        <v>0</v>
      </c>
      <c r="V39" s="57" t="n">
        <f aca="false">IF(V5&gt;=Inputs!$C$77,V33+V37,0)</f>
        <v>0</v>
      </c>
      <c r="W39" s="57" t="n">
        <f aca="false">IF(W5&gt;=Inputs!$C$77,W33+W37,0)</f>
        <v>0</v>
      </c>
      <c r="X39" s="57" t="n">
        <f aca="false">IF(X5&gt;=Inputs!$C$77,X33+X37,0)</f>
        <v>0</v>
      </c>
      <c r="Y39" s="57" t="n">
        <f aca="false">IF(Y5&gt;=Inputs!$C$77,Y33+Y37,0)</f>
        <v>0</v>
      </c>
      <c r="Z39" s="57" t="n">
        <f aca="false">IF(Z5&gt;=Inputs!$C$77,Z33+Z37,0)</f>
        <v>0</v>
      </c>
      <c r="AA39" s="57" t="n">
        <f aca="false">IF(AA5&gt;=Inputs!$C$77,AA33+AA37,0)</f>
        <v>0</v>
      </c>
      <c r="AB39" s="57" t="n">
        <f aca="false">IF(AB5&gt;=Inputs!$C$77,AB33+AB37,0)</f>
        <v>0</v>
      </c>
      <c r="AC39" s="57" t="n">
        <f aca="false">IF(AC5&gt;=Inputs!$C$77,AC33+AC37,0)</f>
        <v>0</v>
      </c>
      <c r="AD39" s="57" t="n">
        <f aca="false">IF(AD5&gt;=Inputs!$C$77,AD33+AD37,0)</f>
        <v>0</v>
      </c>
      <c r="AE39" s="57" t="n">
        <f aca="false">IF(AE5&gt;=Inputs!$C$77,AE33+AE37,0)</f>
        <v>0</v>
      </c>
      <c r="AF39" s="57" t="n">
        <f aca="false">IF(AF5&gt;=Inputs!$C$77,AF33+AF37,0)</f>
        <v>0</v>
      </c>
      <c r="AG39" s="57" t="n">
        <f aca="false">IF(AG5&gt;=Inputs!$C$77,AG33+AG37,0)</f>
        <v>0</v>
      </c>
      <c r="AH39" s="57" t="n">
        <f aca="false">IF(AH5&gt;=Inputs!$C$77,AH33+AH37,0)</f>
        <v>0</v>
      </c>
    </row>
    <row r="40" customFormat="false" ht="15" hidden="false" customHeight="true" outlineLevel="0" collapsed="false">
      <c r="B40" s="4" t="s">
        <v>815</v>
      </c>
      <c r="D40" s="59" t="n">
        <f aca="false">SUM(E40:AH40)</f>
        <v>13.5189989128773</v>
      </c>
      <c r="E40" s="57" t="n">
        <f aca="false">E39*(1-Inputs!$C$79)</f>
        <v>0</v>
      </c>
      <c r="F40" s="57" t="n">
        <f aca="false">F39*(1-Inputs!$C$79)</f>
        <v>0</v>
      </c>
      <c r="G40" s="57" t="n">
        <f aca="false">G39*(1-Inputs!$C$79)</f>
        <v>13.5189989128773</v>
      </c>
      <c r="H40" s="57" t="n">
        <f aca="false">H39*(1-Inputs!$C$79)</f>
        <v>0</v>
      </c>
      <c r="I40" s="57" t="n">
        <f aca="false">I39*(1-Inputs!$C$79)</f>
        <v>0</v>
      </c>
      <c r="J40" s="57" t="n">
        <f aca="false">J39*(1-Inputs!$C$79)</f>
        <v>0</v>
      </c>
      <c r="K40" s="57" t="n">
        <f aca="false">K39*(1-Inputs!$C$79)</f>
        <v>0</v>
      </c>
      <c r="L40" s="57" t="n">
        <f aca="false">L39*(1-Inputs!$C$79)</f>
        <v>0</v>
      </c>
      <c r="M40" s="57" t="n">
        <f aca="false">M39*(1-Inputs!$C$79)</f>
        <v>0</v>
      </c>
      <c r="N40" s="57" t="n">
        <f aca="false">N39*(1-Inputs!$C$79)</f>
        <v>0</v>
      </c>
      <c r="O40" s="57" t="n">
        <f aca="false">O39*(1-Inputs!$C$79)</f>
        <v>0</v>
      </c>
      <c r="P40" s="57" t="n">
        <f aca="false">P39*(1-Inputs!$C$79)</f>
        <v>0</v>
      </c>
      <c r="Q40" s="57" t="n">
        <f aca="false">Q39*(1-Inputs!$C$79)</f>
        <v>0</v>
      </c>
      <c r="R40" s="57" t="n">
        <f aca="false">R39*(1-Inputs!$C$79)</f>
        <v>0</v>
      </c>
      <c r="S40" s="57" t="n">
        <f aca="false">S39*(1-Inputs!$C$79)</f>
        <v>0</v>
      </c>
      <c r="T40" s="57" t="n">
        <f aca="false">T39*(1-Inputs!$C$79)</f>
        <v>0</v>
      </c>
      <c r="U40" s="57" t="n">
        <f aca="false">U39*(1-Inputs!$C$79)</f>
        <v>0</v>
      </c>
      <c r="V40" s="57" t="n">
        <f aca="false">V39*(1-Inputs!$C$79)</f>
        <v>0</v>
      </c>
      <c r="W40" s="57" t="n">
        <f aca="false">W39*(1-Inputs!$C$79)</f>
        <v>0</v>
      </c>
      <c r="X40" s="57" t="n">
        <f aca="false">X39*(1-Inputs!$C$79)</f>
        <v>0</v>
      </c>
      <c r="Y40" s="57" t="n">
        <f aca="false">Y39*(1-Inputs!$C$79)</f>
        <v>0</v>
      </c>
      <c r="Z40" s="57" t="n">
        <f aca="false">Z39*(1-Inputs!$C$79)</f>
        <v>0</v>
      </c>
      <c r="AA40" s="57" t="n">
        <f aca="false">AA39*(1-Inputs!$C$79)</f>
        <v>0</v>
      </c>
      <c r="AB40" s="57" t="n">
        <f aca="false">AB39*(1-Inputs!$C$79)</f>
        <v>0</v>
      </c>
      <c r="AC40" s="57" t="n">
        <f aca="false">AC39*(1-Inputs!$C$79)</f>
        <v>0</v>
      </c>
      <c r="AD40" s="57" t="n">
        <f aca="false">AD39*(1-Inputs!$C$79)</f>
        <v>0</v>
      </c>
      <c r="AE40" s="57" t="n">
        <f aca="false">AE39*(1-Inputs!$C$79)</f>
        <v>0</v>
      </c>
      <c r="AF40" s="57" t="n">
        <f aca="false">AF39*(1-Inputs!$C$79)</f>
        <v>0</v>
      </c>
      <c r="AG40" s="57" t="n">
        <f aca="false">AG39*(1-Inputs!$C$79)</f>
        <v>0</v>
      </c>
      <c r="AH40" s="57" t="n">
        <f aca="false">AH39*(1-Inputs!$C$79)</f>
        <v>0</v>
      </c>
    </row>
    <row r="41" customFormat="false" ht="15" hidden="false" customHeight="true" outlineLevel="0" collapsed="false">
      <c r="B41" s="4" t="s">
        <v>816</v>
      </c>
      <c r="D41" s="59" t="n">
        <f aca="false">SUM(E41:AH41)</f>
        <v>76.6076605063048</v>
      </c>
      <c r="E41" s="57" t="n">
        <f aca="false">E39*Inputs!$C$79</f>
        <v>0</v>
      </c>
      <c r="F41" s="57" t="n">
        <f aca="false">F39*Inputs!$C$79</f>
        <v>0</v>
      </c>
      <c r="G41" s="57" t="n">
        <f aca="false">G39*Inputs!$C$79</f>
        <v>76.6076605063048</v>
      </c>
      <c r="H41" s="57" t="n">
        <f aca="false">H39*Inputs!$C$79</f>
        <v>0</v>
      </c>
      <c r="I41" s="57" t="n">
        <f aca="false">I39*Inputs!$C$79</f>
        <v>0</v>
      </c>
      <c r="J41" s="57" t="n">
        <f aca="false">J39*Inputs!$C$79</f>
        <v>0</v>
      </c>
      <c r="K41" s="57" t="n">
        <f aca="false">K39*Inputs!$C$79</f>
        <v>0</v>
      </c>
      <c r="L41" s="57" t="n">
        <f aca="false">L39*Inputs!$C$79</f>
        <v>0</v>
      </c>
      <c r="M41" s="57" t="n">
        <f aca="false">M39*Inputs!$C$79</f>
        <v>0</v>
      </c>
      <c r="N41" s="57" t="n">
        <f aca="false">N39*Inputs!$C$79</f>
        <v>0</v>
      </c>
      <c r="O41" s="57" t="n">
        <f aca="false">O39*Inputs!$C$79</f>
        <v>0</v>
      </c>
      <c r="P41" s="57" t="n">
        <f aca="false">P39*Inputs!$C$79</f>
        <v>0</v>
      </c>
      <c r="Q41" s="57" t="n">
        <f aca="false">Q39*Inputs!$C$79</f>
        <v>0</v>
      </c>
      <c r="R41" s="57" t="n">
        <f aca="false">R39*Inputs!$C$79</f>
        <v>0</v>
      </c>
      <c r="S41" s="57" t="n">
        <f aca="false">S39*Inputs!$C$79</f>
        <v>0</v>
      </c>
      <c r="T41" s="57" t="n">
        <f aca="false">T39*Inputs!$C$79</f>
        <v>0</v>
      </c>
      <c r="U41" s="57" t="n">
        <f aca="false">U39*Inputs!$C$79</f>
        <v>0</v>
      </c>
      <c r="V41" s="57" t="n">
        <f aca="false">V39*Inputs!$C$79</f>
        <v>0</v>
      </c>
      <c r="W41" s="57" t="n">
        <f aca="false">W39*Inputs!$C$79</f>
        <v>0</v>
      </c>
      <c r="X41" s="57" t="n">
        <f aca="false">X39*Inputs!$C$79</f>
        <v>0</v>
      </c>
      <c r="Y41" s="57" t="n">
        <f aca="false">Y39*Inputs!$C$79</f>
        <v>0</v>
      </c>
      <c r="Z41" s="57" t="n">
        <f aca="false">Z39*Inputs!$C$79</f>
        <v>0</v>
      </c>
      <c r="AA41" s="57" t="n">
        <f aca="false">AA39*Inputs!$C$79</f>
        <v>0</v>
      </c>
      <c r="AB41" s="57" t="n">
        <f aca="false">AB39*Inputs!$C$79</f>
        <v>0</v>
      </c>
      <c r="AC41" s="57" t="n">
        <f aca="false">AC39*Inputs!$C$79</f>
        <v>0</v>
      </c>
      <c r="AD41" s="57" t="n">
        <f aca="false">AD39*Inputs!$C$79</f>
        <v>0</v>
      </c>
      <c r="AE41" s="57" t="n">
        <f aca="false">AE39*Inputs!$C$79</f>
        <v>0</v>
      </c>
      <c r="AF41" s="57" t="n">
        <f aca="false">AF39*Inputs!$C$79</f>
        <v>0</v>
      </c>
      <c r="AG41" s="57" t="n">
        <f aca="false">AG39*Inputs!$C$79</f>
        <v>0</v>
      </c>
      <c r="AH41" s="57" t="n">
        <f aca="false">AH39*Inputs!$C$79</f>
        <v>0</v>
      </c>
    </row>
    <row r="42" customFormat="false" ht="15" hidden="false" customHeight="true" outlineLevel="0" collapsed="false">
      <c r="B42" s="21" t="s">
        <v>817</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row>
    <row r="43" customFormat="false" ht="15" hidden="false" customHeight="true" outlineLevel="0" collapsed="false">
      <c r="B43" s="4" t="s">
        <v>818</v>
      </c>
      <c r="E43" s="57" t="s">
        <v>808</v>
      </c>
      <c r="F43" s="57" t="n">
        <f aca="false">E67</f>
        <v>0</v>
      </c>
      <c r="G43" s="57" t="n">
        <f aca="false">F67</f>
        <v>0</v>
      </c>
      <c r="H43" s="57" t="n">
        <f aca="false">G67</f>
        <v>85.8005797670614</v>
      </c>
      <c r="I43" s="57" t="n">
        <f aca="false">H67</f>
        <v>88.4214655957237</v>
      </c>
      <c r="J43" s="57" t="n">
        <f aca="false">I67</f>
        <v>89.4163615936357</v>
      </c>
      <c r="K43" s="57" t="n">
        <f aca="false">J67</f>
        <v>90.5306451112973</v>
      </c>
      <c r="L43" s="57" t="n">
        <f aca="false">K67</f>
        <v>91.7786426510781</v>
      </c>
      <c r="M43" s="57" t="n">
        <f aca="false">L67</f>
        <v>93.1763998956328</v>
      </c>
      <c r="N43" s="57" t="n">
        <f aca="false">M67</f>
        <v>94.7418880095339</v>
      </c>
      <c r="O43" s="57" t="n">
        <f aca="false">N67</f>
        <v>96.4952346971032</v>
      </c>
      <c r="P43" s="57" t="n">
        <f aca="false">O67</f>
        <v>98.4589829871809</v>
      </c>
      <c r="Q43" s="57" t="n">
        <f aca="false">P67</f>
        <v>100.658381072068</v>
      </c>
      <c r="R43" s="57" t="n">
        <f aca="false">Q67</f>
        <v>0</v>
      </c>
      <c r="S43" s="57" t="n">
        <f aca="false">R67</f>
        <v>0</v>
      </c>
      <c r="T43" s="57" t="n">
        <f aca="false">S67</f>
        <v>0</v>
      </c>
      <c r="U43" s="57" t="n">
        <f aca="false">T67</f>
        <v>0</v>
      </c>
      <c r="V43" s="57" t="n">
        <f aca="false">U67</f>
        <v>0</v>
      </c>
      <c r="W43" s="57" t="n">
        <f aca="false">V67</f>
        <v>0</v>
      </c>
      <c r="X43" s="57" t="n">
        <f aca="false">W67</f>
        <v>0</v>
      </c>
      <c r="Y43" s="57" t="n">
        <f aca="false">X67</f>
        <v>0</v>
      </c>
      <c r="Z43" s="57" t="n">
        <f aca="false">Y67</f>
        <v>0</v>
      </c>
      <c r="AA43" s="57" t="n">
        <f aca="false">Z67</f>
        <v>0</v>
      </c>
      <c r="AB43" s="57" t="n">
        <f aca="false">AA67</f>
        <v>0</v>
      </c>
      <c r="AC43" s="57" t="n">
        <f aca="false">AB67</f>
        <v>0</v>
      </c>
      <c r="AD43" s="57" t="n">
        <f aca="false">AC67</f>
        <v>0</v>
      </c>
      <c r="AE43" s="57" t="n">
        <f aca="false">AD67</f>
        <v>0</v>
      </c>
      <c r="AF43" s="57" t="n">
        <f aca="false">AE67</f>
        <v>0</v>
      </c>
      <c r="AG43" s="57" t="n">
        <f aca="false">AF67</f>
        <v>0</v>
      </c>
      <c r="AH43" s="57" t="n">
        <f aca="false">AG67</f>
        <v>0</v>
      </c>
    </row>
    <row r="44" customFormat="false" ht="15" hidden="false" customHeight="true" outlineLevel="0" collapsed="false">
      <c r="B44" s="4" t="s">
        <v>819</v>
      </c>
      <c r="D44" s="59" t="n">
        <f aca="false">SUM(E44:AH44)</f>
        <v>120.730349026394</v>
      </c>
      <c r="E44" s="57" t="n">
        <f aca="false">(E43+E41)*Inputs!$C$81</f>
        <v>0</v>
      </c>
      <c r="F44" s="57" t="n">
        <f aca="false">(F43+F41)*Inputs!$C$81</f>
        <v>0</v>
      </c>
      <c r="G44" s="57" t="n">
        <f aca="false">(G43+G41)*Inputs!$C$81</f>
        <v>9.19291926075658</v>
      </c>
      <c r="H44" s="57" t="n">
        <f aca="false">(H43+H41)*Inputs!$C$81</f>
        <v>10.2960695720474</v>
      </c>
      <c r="I44" s="57" t="n">
        <f aca="false">(I43+I41)*Inputs!$C$81</f>
        <v>10.6105758714868</v>
      </c>
      <c r="J44" s="57" t="n">
        <f aca="false">(J43+J41)*Inputs!$C$81</f>
        <v>10.7299633912363</v>
      </c>
      <c r="K44" s="57" t="n">
        <f aca="false">(K43+K41)*Inputs!$C$81</f>
        <v>10.8636774133557</v>
      </c>
      <c r="L44" s="57" t="n">
        <f aca="false">(L43+L41)*Inputs!$C$81</f>
        <v>11.0134371181294</v>
      </c>
      <c r="M44" s="57" t="n">
        <f aca="false">(M43+M41)*Inputs!$C$81</f>
        <v>11.1811679874759</v>
      </c>
      <c r="N44" s="57" t="n">
        <f aca="false">(N43+N41)*Inputs!$C$81</f>
        <v>11.3690265611441</v>
      </c>
      <c r="O44" s="57" t="n">
        <f aca="false">(O43+O41)*Inputs!$C$81</f>
        <v>11.5794281636524</v>
      </c>
      <c r="P44" s="57" t="n">
        <f aca="false">(P43+P41)*Inputs!$C$81</f>
        <v>11.8150779584617</v>
      </c>
      <c r="Q44" s="57" t="n">
        <f aca="false">(Q43+Q41)*Inputs!$C$81</f>
        <v>12.0790057286481</v>
      </c>
      <c r="R44" s="57" t="n">
        <f aca="false">(R43+R41)*Inputs!$C$81</f>
        <v>0</v>
      </c>
      <c r="S44" s="57" t="n">
        <f aca="false">(S43+S41)*Inputs!$C$81</f>
        <v>0</v>
      </c>
      <c r="T44" s="57" t="n">
        <f aca="false">(T43+T41)*Inputs!$C$81</f>
        <v>0</v>
      </c>
      <c r="U44" s="57" t="n">
        <f aca="false">(U43+U41)*Inputs!$C$81</f>
        <v>0</v>
      </c>
      <c r="V44" s="57" t="n">
        <f aca="false">(V43+V41)*Inputs!$C$81</f>
        <v>0</v>
      </c>
      <c r="W44" s="57" t="n">
        <f aca="false">(W43+W41)*Inputs!$C$81</f>
        <v>0</v>
      </c>
      <c r="X44" s="57" t="n">
        <f aca="false">(X43+X41)*Inputs!$C$81</f>
        <v>0</v>
      </c>
      <c r="Y44" s="57" t="n">
        <f aca="false">(Y43+Y41)*Inputs!$C$81</f>
        <v>0</v>
      </c>
      <c r="Z44" s="57" t="n">
        <f aca="false">(Z43+Z41)*Inputs!$C$81</f>
        <v>0</v>
      </c>
      <c r="AA44" s="57" t="n">
        <f aca="false">(AA43+AA41)*Inputs!$C$81</f>
        <v>0</v>
      </c>
      <c r="AB44" s="57" t="n">
        <f aca="false">(AB43+AB41)*Inputs!$C$81</f>
        <v>0</v>
      </c>
      <c r="AC44" s="57" t="n">
        <f aca="false">(AC43+AC41)*Inputs!$C$81</f>
        <v>0</v>
      </c>
      <c r="AD44" s="57" t="n">
        <f aca="false">(AD43+AD41)*Inputs!$C$81</f>
        <v>0</v>
      </c>
      <c r="AE44" s="57" t="n">
        <f aca="false">(AE43+AE41)*Inputs!$C$81</f>
        <v>0</v>
      </c>
      <c r="AF44" s="57" t="n">
        <f aca="false">(AF43+AF41)*Inputs!$C$81</f>
        <v>0</v>
      </c>
      <c r="AG44" s="57" t="n">
        <f aca="false">(AG43+AG41)*Inputs!$C$81</f>
        <v>0</v>
      </c>
      <c r="AH44" s="57" t="n">
        <f aca="false">(AH43+AH41)*Inputs!$C$81</f>
        <v>0</v>
      </c>
    </row>
    <row r="45" customFormat="false" ht="15" hidden="false" customHeight="true" outlineLevel="0" collapsed="false">
      <c r="B45" s="4" t="s">
        <v>820</v>
      </c>
      <c r="E45" s="57" t="s">
        <v>808</v>
      </c>
      <c r="F45" s="57" t="n">
        <f aca="false">E69</f>
        <v>0</v>
      </c>
      <c r="G45" s="57" t="n">
        <f aca="false">F69</f>
        <v>0</v>
      </c>
      <c r="H45" s="57" t="n">
        <f aca="false">G69</f>
        <v>0</v>
      </c>
      <c r="I45" s="57" t="n">
        <f aca="false">H69</f>
        <v>0</v>
      </c>
      <c r="J45" s="57" t="n">
        <f aca="false">I69</f>
        <v>0</v>
      </c>
      <c r="K45" s="57" t="n">
        <f aca="false">J69</f>
        <v>0</v>
      </c>
      <c r="L45" s="57" t="n">
        <f aca="false">K69</f>
        <v>0</v>
      </c>
      <c r="M45" s="57" t="n">
        <f aca="false">L69</f>
        <v>0</v>
      </c>
      <c r="N45" s="57" t="n">
        <f aca="false">M69</f>
        <v>0</v>
      </c>
      <c r="O45" s="57" t="n">
        <f aca="false">N69</f>
        <v>0</v>
      </c>
      <c r="P45" s="57" t="n">
        <f aca="false">O69</f>
        <v>0</v>
      </c>
      <c r="Q45" s="57" t="n">
        <f aca="false">P69</f>
        <v>0</v>
      </c>
      <c r="R45" s="57" t="n">
        <f aca="false">Q69</f>
        <v>0</v>
      </c>
      <c r="S45" s="57" t="n">
        <f aca="false">R69</f>
        <v>0</v>
      </c>
      <c r="T45" s="57" t="n">
        <f aca="false">S69</f>
        <v>0</v>
      </c>
      <c r="U45" s="57" t="n">
        <f aca="false">T69</f>
        <v>0</v>
      </c>
      <c r="V45" s="57" t="n">
        <f aca="false">U69</f>
        <v>0</v>
      </c>
      <c r="W45" s="57" t="n">
        <f aca="false">V69</f>
        <v>0</v>
      </c>
      <c r="X45" s="57" t="n">
        <f aca="false">W69</f>
        <v>0</v>
      </c>
      <c r="Y45" s="57" t="n">
        <f aca="false">X69</f>
        <v>0</v>
      </c>
      <c r="Z45" s="57" t="n">
        <f aca="false">Y69</f>
        <v>0</v>
      </c>
      <c r="AA45" s="57" t="n">
        <f aca="false">Z69</f>
        <v>0</v>
      </c>
      <c r="AB45" s="57" t="n">
        <f aca="false">AA69</f>
        <v>0</v>
      </c>
      <c r="AC45" s="57" t="n">
        <f aca="false">AB69</f>
        <v>0</v>
      </c>
      <c r="AD45" s="57" t="n">
        <f aca="false">AC69</f>
        <v>0</v>
      </c>
      <c r="AE45" s="57" t="n">
        <f aca="false">AD69</f>
        <v>0</v>
      </c>
      <c r="AF45" s="57" t="n">
        <f aca="false">AE69</f>
        <v>0</v>
      </c>
      <c r="AG45" s="57" t="n">
        <f aca="false">AF69</f>
        <v>0</v>
      </c>
      <c r="AH45" s="57" t="n">
        <f aca="false">AG69</f>
        <v>0</v>
      </c>
    </row>
    <row r="46" customFormat="false" ht="15" hidden="false" customHeight="true" outlineLevel="0" collapsed="false">
      <c r="B46" s="4" t="s">
        <v>821</v>
      </c>
      <c r="D46" s="59" t="n">
        <f aca="false">SUM(E46:AH46)</f>
        <v>0</v>
      </c>
      <c r="E46" s="57" t="n">
        <f aca="false">(E45+E32*Inputs!$C$112/12)*Inputs!$C$94</f>
        <v>0</v>
      </c>
      <c r="F46" s="57" t="n">
        <f aca="false">(F45+F32*Inputs!$C$112/12)*Inputs!$C$94</f>
        <v>0</v>
      </c>
      <c r="G46" s="57" t="n">
        <f aca="false">(G45+G32*Inputs!$C$112/12)*Inputs!$C$94</f>
        <v>0</v>
      </c>
      <c r="H46" s="57" t="n">
        <f aca="false">(H45+H32*Inputs!$C$112/12)*Inputs!$C$94</f>
        <v>0</v>
      </c>
      <c r="I46" s="57" t="n">
        <f aca="false">(I45+I32*Inputs!$C$112/12)*Inputs!$C$94</f>
        <v>0</v>
      </c>
      <c r="J46" s="57" t="n">
        <f aca="false">(J45+J32*Inputs!$C$112/12)*Inputs!$C$94</f>
        <v>0</v>
      </c>
      <c r="K46" s="57" t="n">
        <f aca="false">(K45+K32*Inputs!$C$112/12)*Inputs!$C$94</f>
        <v>0</v>
      </c>
      <c r="L46" s="57" t="n">
        <f aca="false">(L45+L32*Inputs!$C$112/12)*Inputs!$C$94</f>
        <v>0</v>
      </c>
      <c r="M46" s="57" t="n">
        <f aca="false">(M45+M32*Inputs!$C$112/12)*Inputs!$C$94</f>
        <v>0</v>
      </c>
      <c r="N46" s="57" t="n">
        <f aca="false">(N45+N32*Inputs!$C$112/12)*Inputs!$C$94</f>
        <v>0</v>
      </c>
      <c r="O46" s="57" t="n">
        <f aca="false">(O45+O32*Inputs!$C$112/12)*Inputs!$C$94</f>
        <v>0</v>
      </c>
      <c r="P46" s="57" t="n">
        <f aca="false">(P45+P32*Inputs!$C$112/12)*Inputs!$C$94</f>
        <v>0</v>
      </c>
      <c r="Q46" s="57" t="n">
        <f aca="false">(Q45+Q32*Inputs!$C$112/12)*Inputs!$C$94</f>
        <v>0</v>
      </c>
      <c r="R46" s="57" t="n">
        <f aca="false">(R45+R32*Inputs!$C$112/12)*Inputs!$C$94</f>
        <v>0</v>
      </c>
      <c r="S46" s="57" t="n">
        <f aca="false">(S45+S32*Inputs!$C$112/12)*Inputs!$C$94</f>
        <v>0</v>
      </c>
      <c r="T46" s="57" t="n">
        <f aca="false">(T45+T32*Inputs!$C$112/12)*Inputs!$C$94</f>
        <v>0</v>
      </c>
      <c r="U46" s="57" t="n">
        <f aca="false">(U45+U32*Inputs!$C$112/12)*Inputs!$C$94</f>
        <v>0</v>
      </c>
      <c r="V46" s="57" t="n">
        <f aca="false">(V45+V32*Inputs!$C$112/12)*Inputs!$C$94</f>
        <v>0</v>
      </c>
      <c r="W46" s="57" t="n">
        <f aca="false">(W45+W32*Inputs!$C$112/12)*Inputs!$C$94</f>
        <v>0</v>
      </c>
      <c r="X46" s="57" t="n">
        <f aca="false">(X45+X32*Inputs!$C$112/12)*Inputs!$C$94</f>
        <v>0</v>
      </c>
      <c r="Y46" s="57" t="n">
        <f aca="false">(Y45+Y32*Inputs!$C$112/12)*Inputs!$C$94</f>
        <v>0</v>
      </c>
      <c r="Z46" s="57" t="n">
        <f aca="false">(Z45+Z32*Inputs!$C$112/12)*Inputs!$C$94</f>
        <v>0</v>
      </c>
      <c r="AA46" s="57" t="n">
        <f aca="false">(AA45+AA32*Inputs!$C$112/12)*Inputs!$C$94</f>
        <v>0</v>
      </c>
      <c r="AB46" s="57" t="n">
        <f aca="false">(AB45+AB32*Inputs!$C$112/12)*Inputs!$C$94</f>
        <v>0</v>
      </c>
      <c r="AC46" s="57" t="n">
        <f aca="false">(AC45+AC32*Inputs!$C$112/12)*Inputs!$C$94</f>
        <v>0</v>
      </c>
      <c r="AD46" s="57" t="n">
        <f aca="false">(AD45+AD32*Inputs!$C$112/12)*Inputs!$C$94</f>
        <v>0</v>
      </c>
      <c r="AE46" s="57" t="n">
        <f aca="false">(AE45+AE32*Inputs!$C$112/12)*Inputs!$C$94</f>
        <v>0</v>
      </c>
      <c r="AF46" s="57" t="n">
        <f aca="false">(AF45+AF32*Inputs!$C$112/12)*Inputs!$C$94</f>
        <v>0</v>
      </c>
      <c r="AG46" s="57" t="n">
        <f aca="false">(AG45+AG32*Inputs!$C$112/12)*Inputs!$C$94</f>
        <v>0</v>
      </c>
      <c r="AH46" s="57" t="n">
        <f aca="false">(AH45+AH32*Inputs!$C$112/12)*Inputs!$C$94</f>
        <v>0</v>
      </c>
    </row>
    <row r="47" customFormat="false" ht="15" hidden="false" customHeight="true" outlineLevel="0" collapsed="false">
      <c r="B47" s="4" t="s">
        <v>822</v>
      </c>
      <c r="E47" s="57" t="s">
        <v>808</v>
      </c>
      <c r="F47" s="57" t="n">
        <f aca="false">E75</f>
        <v>0</v>
      </c>
      <c r="G47" s="57" t="n">
        <f aca="false">F75</f>
        <v>0</v>
      </c>
      <c r="H47" s="57" t="n">
        <f aca="false">G75</f>
        <v>0</v>
      </c>
      <c r="I47" s="57" t="n">
        <f aca="false">H75</f>
        <v>0</v>
      </c>
      <c r="J47" s="57" t="n">
        <f aca="false">I75</f>
        <v>0</v>
      </c>
      <c r="K47" s="57" t="n">
        <f aca="false">J75</f>
        <v>0</v>
      </c>
      <c r="L47" s="57" t="n">
        <f aca="false">K75</f>
        <v>0</v>
      </c>
      <c r="M47" s="57" t="n">
        <f aca="false">L75</f>
        <v>0</v>
      </c>
      <c r="N47" s="57" t="n">
        <f aca="false">M75</f>
        <v>0</v>
      </c>
      <c r="O47" s="57" t="n">
        <f aca="false">N75</f>
        <v>0</v>
      </c>
      <c r="P47" s="57" t="n">
        <f aca="false">O75</f>
        <v>0</v>
      </c>
      <c r="Q47" s="57" t="n">
        <f aca="false">P75</f>
        <v>0</v>
      </c>
      <c r="R47" s="57" t="n">
        <f aca="false">Q75</f>
        <v>0</v>
      </c>
      <c r="S47" s="57" t="n">
        <f aca="false">R75</f>
        <v>0</v>
      </c>
      <c r="T47" s="57" t="n">
        <f aca="false">S75</f>
        <v>0</v>
      </c>
      <c r="U47" s="57" t="n">
        <f aca="false">T75</f>
        <v>0</v>
      </c>
      <c r="V47" s="57" t="n">
        <f aca="false">U75</f>
        <v>0</v>
      </c>
      <c r="W47" s="57" t="n">
        <f aca="false">V75</f>
        <v>0</v>
      </c>
      <c r="X47" s="57" t="n">
        <f aca="false">W75</f>
        <v>0</v>
      </c>
      <c r="Y47" s="57" t="n">
        <f aca="false">X75</f>
        <v>0</v>
      </c>
      <c r="Z47" s="57" t="n">
        <f aca="false">Y75</f>
        <v>0</v>
      </c>
      <c r="AA47" s="57" t="n">
        <f aca="false">Z75</f>
        <v>0</v>
      </c>
      <c r="AB47" s="57" t="n">
        <f aca="false">AA75</f>
        <v>0</v>
      </c>
      <c r="AC47" s="57" t="n">
        <f aca="false">AB75</f>
        <v>0</v>
      </c>
      <c r="AD47" s="57" t="n">
        <f aca="false">AC75</f>
        <v>0</v>
      </c>
      <c r="AE47" s="57" t="n">
        <f aca="false">AD75</f>
        <v>0</v>
      </c>
      <c r="AF47" s="57" t="n">
        <f aca="false">AE75</f>
        <v>0</v>
      </c>
      <c r="AG47" s="57" t="n">
        <f aca="false">AF75</f>
        <v>0</v>
      </c>
      <c r="AH47" s="57" t="n">
        <f aca="false">AG75</f>
        <v>0</v>
      </c>
    </row>
    <row r="48" customFormat="false" ht="15" hidden="false" customHeight="true" outlineLevel="0" collapsed="false">
      <c r="B48" s="4" t="s">
        <v>823</v>
      </c>
      <c r="E48" s="57" t="n">
        <f aca="false">E26+E47</f>
        <v>0</v>
      </c>
      <c r="F48" s="57" t="n">
        <f aca="false">F26+F47</f>
        <v>0</v>
      </c>
      <c r="G48" s="57" t="n">
        <f aca="false">G26+G47</f>
        <v>0</v>
      </c>
      <c r="H48" s="57" t="n">
        <f aca="false">H26+H47</f>
        <v>7.67518374338512</v>
      </c>
      <c r="I48" s="57" t="n">
        <f aca="false">I26+I47</f>
        <v>9.61567987357477</v>
      </c>
      <c r="J48" s="57" t="n">
        <f aca="false">J26+J47</f>
        <v>9.61567987357477</v>
      </c>
      <c r="K48" s="57" t="n">
        <f aca="false">K26+K47</f>
        <v>9.61567987357477</v>
      </c>
      <c r="L48" s="57" t="n">
        <f aca="false">L26+L47</f>
        <v>9.61567987357477</v>
      </c>
      <c r="M48" s="57" t="n">
        <f aca="false">M26+M47</f>
        <v>9.61567987357477</v>
      </c>
      <c r="N48" s="57" t="n">
        <f aca="false">N26+N47</f>
        <v>9.61567987357477</v>
      </c>
      <c r="O48" s="57" t="n">
        <f aca="false">O26+O47</f>
        <v>9.61567987357477</v>
      </c>
      <c r="P48" s="57" t="n">
        <f aca="false">P26+P47</f>
        <v>9.61567987357477</v>
      </c>
      <c r="Q48" s="57" t="n">
        <f aca="false">Q26+Q47</f>
        <v>27.1146816474308</v>
      </c>
      <c r="R48" s="57" t="n">
        <f aca="false">R26+R47</f>
        <v>44.1240513611463</v>
      </c>
      <c r="S48" s="57" t="n">
        <f aca="false">S26+S47</f>
        <v>22.2274243360747</v>
      </c>
      <c r="T48" s="57" t="n">
        <f aca="false">T26+T47</f>
        <v>30.698479909005</v>
      </c>
      <c r="U48" s="57" t="n">
        <f aca="false">U26+U47</f>
        <v>27.5863106869037</v>
      </c>
      <c r="V48" s="57" t="n">
        <f aca="false">V26+V47</f>
        <v>27.0789638526528</v>
      </c>
      <c r="W48" s="57" t="n">
        <f aca="false">W26+W47</f>
        <v>26.7237578314602</v>
      </c>
      <c r="X48" s="57" t="n">
        <f aca="false">X26+X47</f>
        <v>26.4600394897851</v>
      </c>
      <c r="Y48" s="57" t="n">
        <f aca="false">Y26+Y47</f>
        <v>26.2514161347365</v>
      </c>
      <c r="Z48" s="57" t="n">
        <f aca="false">Z26+Z47</f>
        <v>26.0760513410638</v>
      </c>
      <c r="AA48" s="57" t="n">
        <f aca="false">AA26+AA47</f>
        <v>25.9208424473393</v>
      </c>
      <c r="AB48" s="57" t="n">
        <f aca="false">AB26+AB47</f>
        <v>25.7779270536538</v>
      </c>
      <c r="AC48" s="57" t="n">
        <f aca="false">AC26+AC47</f>
        <v>25.6425869202215</v>
      </c>
      <c r="AD48" s="57" t="n">
        <f aca="false">AD26+AD47</f>
        <v>25.51199030653</v>
      </c>
      <c r="AE48" s="57" t="n">
        <f aca="false">AE26+AE47</f>
        <v>21.8432653059082</v>
      </c>
      <c r="AF48" s="57" t="n">
        <f aca="false">AF26+AF47</f>
        <v>12.550864143394</v>
      </c>
      <c r="AG48" s="57" t="n">
        <f aca="false">AG26+AG47</f>
        <v>0</v>
      </c>
      <c r="AH48" s="57" t="n">
        <f aca="false">AH26+AH47</f>
        <v>0</v>
      </c>
    </row>
    <row r="49" customFormat="false" ht="15" hidden="false" customHeight="true" outlineLevel="0" collapsed="false">
      <c r="B49" s="4" t="s">
        <v>824</v>
      </c>
      <c r="D49" s="59" t="n">
        <f aca="false">SUM(E49:AH49)</f>
        <v>96.6796284606314</v>
      </c>
      <c r="E49" s="57" t="n">
        <f aca="false">IF(E44+E46=0,0,MIN(MAX(E48,0),E44+E46)*E44/(E44+E46))</f>
        <v>0</v>
      </c>
      <c r="F49" s="57" t="n">
        <f aca="false">IF(F44+F46=0,0,MIN(MAX(F48,0),F44+F46)*F44/(F44+F46))</f>
        <v>0</v>
      </c>
      <c r="G49" s="57" t="n">
        <f aca="false">IF(G44+G46=0,0,MIN(MAX(G48,0),G44+G46)*G44/(G44+G46))</f>
        <v>0</v>
      </c>
      <c r="H49" s="57" t="n">
        <f aca="false">IF(H44+H46=0,0,MIN(MAX(H48,0),H44+H46)*H44/(H44+H46))</f>
        <v>7.67518374338512</v>
      </c>
      <c r="I49" s="57" t="n">
        <f aca="false">IF(I44+I46=0,0,MIN(MAX(I48,0),I44+I46)*I44/(I44+I46))</f>
        <v>9.61567987357477</v>
      </c>
      <c r="J49" s="57" t="n">
        <f aca="false">IF(J44+J46=0,0,MIN(MAX(J48,0),J44+J46)*J44/(J44+J46))</f>
        <v>9.61567987357477</v>
      </c>
      <c r="K49" s="57" t="n">
        <f aca="false">IF(K44+K46=0,0,MIN(MAX(K48,0),K44+K46)*K44/(K44+K46))</f>
        <v>9.61567987357477</v>
      </c>
      <c r="L49" s="57" t="n">
        <f aca="false">IF(L44+L46=0,0,MIN(MAX(L48,0),L44+L46)*L44/(L44+L46))</f>
        <v>9.61567987357477</v>
      </c>
      <c r="M49" s="57" t="n">
        <f aca="false">IF(M44+M46=0,0,MIN(MAX(M48,0),M44+M46)*M44/(M44+M46))</f>
        <v>9.61567987357477</v>
      </c>
      <c r="N49" s="57" t="n">
        <f aca="false">IF(N44+N46=0,0,MIN(MAX(N48,0),N44+N46)*N44/(N44+N46))</f>
        <v>9.61567987357477</v>
      </c>
      <c r="O49" s="57" t="n">
        <f aca="false">IF(O44+O46=0,0,MIN(MAX(O48,0),O44+O46)*O44/(O44+O46))</f>
        <v>9.61567987357477</v>
      </c>
      <c r="P49" s="57" t="n">
        <f aca="false">IF(P44+P46=0,0,MIN(MAX(P48,0),P44+P46)*P44/(P44+P46))</f>
        <v>9.61567987357477</v>
      </c>
      <c r="Q49" s="57" t="n">
        <f aca="false">IF(Q44+Q46=0,0,MIN(MAX(Q48,0),Q44+Q46)*Q44/(Q44+Q46))</f>
        <v>12.0790057286481</v>
      </c>
      <c r="R49" s="57" t="n">
        <f aca="false">IF(R44+R46=0,0,MIN(MAX(R48,0),R44+R46)*R44/(R44+R46))</f>
        <v>0</v>
      </c>
      <c r="S49" s="57" t="n">
        <f aca="false">IF(S44+S46=0,0,MIN(MAX(S48,0),S44+S46)*S44/(S44+S46))</f>
        <v>0</v>
      </c>
      <c r="T49" s="57" t="n">
        <f aca="false">IF(T44+T46=0,0,MIN(MAX(T48,0),T44+T46)*T44/(T44+T46))</f>
        <v>0</v>
      </c>
      <c r="U49" s="57" t="n">
        <f aca="false">IF(U44+U46=0,0,MIN(MAX(U48,0),U44+U46)*U44/(U44+U46))</f>
        <v>0</v>
      </c>
      <c r="V49" s="57" t="n">
        <f aca="false">IF(V44+V46=0,0,MIN(MAX(V48,0),V44+V46)*V44/(V44+V46))</f>
        <v>0</v>
      </c>
      <c r="W49" s="57" t="n">
        <f aca="false">IF(W44+W46=0,0,MIN(MAX(W48,0),W44+W46)*W44/(W44+W46))</f>
        <v>0</v>
      </c>
      <c r="X49" s="57" t="n">
        <f aca="false">IF(X44+X46=0,0,MIN(MAX(X48,0),X44+X46)*X44/(X44+X46))</f>
        <v>0</v>
      </c>
      <c r="Y49" s="57" t="n">
        <f aca="false">IF(Y44+Y46=0,0,MIN(MAX(Y48,0),Y44+Y46)*Y44/(Y44+Y46))</f>
        <v>0</v>
      </c>
      <c r="Z49" s="57" t="n">
        <f aca="false">IF(Z44+Z46=0,0,MIN(MAX(Z48,0),Z44+Z46)*Z44/(Z44+Z46))</f>
        <v>0</v>
      </c>
      <c r="AA49" s="57" t="n">
        <f aca="false">IF(AA44+AA46=0,0,MIN(MAX(AA48,0),AA44+AA46)*AA44/(AA44+AA46))</f>
        <v>0</v>
      </c>
      <c r="AB49" s="57" t="n">
        <f aca="false">IF(AB44+AB46=0,0,MIN(MAX(AB48,0),AB44+AB46)*AB44/(AB44+AB46))</f>
        <v>0</v>
      </c>
      <c r="AC49" s="57" t="n">
        <f aca="false">IF(AC44+AC46=0,0,MIN(MAX(AC48,0),AC44+AC46)*AC44/(AC44+AC46))</f>
        <v>0</v>
      </c>
      <c r="AD49" s="57" t="n">
        <f aca="false">IF(AD44+AD46=0,0,MIN(MAX(AD48,0),AD44+AD46)*AD44/(AD44+AD46))</f>
        <v>0</v>
      </c>
      <c r="AE49" s="57" t="n">
        <f aca="false">IF(AE44+AE46=0,0,MIN(MAX(AE48,0),AE44+AE46)*AE44/(AE44+AE46))</f>
        <v>0</v>
      </c>
      <c r="AF49" s="57" t="n">
        <f aca="false">IF(AF44+AF46=0,0,MIN(MAX(AF48,0),AF44+AF46)*AF44/(AF44+AF46))</f>
        <v>0</v>
      </c>
      <c r="AG49" s="57" t="n">
        <f aca="false">IF(AG44+AG46=0,0,MIN(MAX(AG48,0),AG44+AG46)*AG44/(AG44+AG46))</f>
        <v>0</v>
      </c>
      <c r="AH49" s="57" t="n">
        <f aca="false">IF(AH44+AH46=0,0,MIN(MAX(AH48,0),AH44+AH46)*AH44/(AH44+AH46))</f>
        <v>0</v>
      </c>
    </row>
    <row r="50" customFormat="false" ht="15" hidden="false" customHeight="true" outlineLevel="0" collapsed="false">
      <c r="B50" s="4" t="s">
        <v>825</v>
      </c>
      <c r="D50" s="59" t="n">
        <f aca="false">SUM(E50:AH50)</f>
        <v>0</v>
      </c>
      <c r="E50" s="57" t="n">
        <f aca="false">IF(E44+E46=0,0,MIN(MAX(E48,0),E44+E46)*E46/(E44+E46))</f>
        <v>0</v>
      </c>
      <c r="F50" s="57" t="n">
        <f aca="false">IF(F44+F46=0,0,MIN(MAX(F48,0),F44+F46)*F46/(F44+F46))</f>
        <v>0</v>
      </c>
      <c r="G50" s="57" t="n">
        <f aca="false">IF(G44+G46=0,0,MIN(MAX(G48,0),G44+G46)*G46/(G44+G46))</f>
        <v>0</v>
      </c>
      <c r="H50" s="57" t="n">
        <f aca="false">IF(H44+H46=0,0,MIN(MAX(H48,0),H44+H46)*H46/(H44+H46))</f>
        <v>0</v>
      </c>
      <c r="I50" s="57" t="n">
        <f aca="false">IF(I44+I46=0,0,MIN(MAX(I48,0),I44+I46)*I46/(I44+I46))</f>
        <v>0</v>
      </c>
      <c r="J50" s="57" t="n">
        <f aca="false">IF(J44+J46=0,0,MIN(MAX(J48,0),J44+J46)*J46/(J44+J46))</f>
        <v>0</v>
      </c>
      <c r="K50" s="57" t="n">
        <f aca="false">IF(K44+K46=0,0,MIN(MAX(K48,0),K44+K46)*K46/(K44+K46))</f>
        <v>0</v>
      </c>
      <c r="L50" s="57" t="n">
        <f aca="false">IF(L44+L46=0,0,MIN(MAX(L48,0),L44+L46)*L46/(L44+L46))</f>
        <v>0</v>
      </c>
      <c r="M50" s="57" t="n">
        <f aca="false">IF(M44+M46=0,0,MIN(MAX(M48,0),M44+M46)*M46/(M44+M46))</f>
        <v>0</v>
      </c>
      <c r="N50" s="57" t="n">
        <f aca="false">IF(N44+N46=0,0,MIN(MAX(N48,0),N44+N46)*N46/(N44+N46))</f>
        <v>0</v>
      </c>
      <c r="O50" s="57" t="n">
        <f aca="false">IF(O44+O46=0,0,MIN(MAX(O48,0),O44+O46)*O46/(O44+O46))</f>
        <v>0</v>
      </c>
      <c r="P50" s="57" t="n">
        <f aca="false">IF(P44+P46=0,0,MIN(MAX(P48,0),P44+P46)*P46/(P44+P46))</f>
        <v>0</v>
      </c>
      <c r="Q50" s="57" t="n">
        <f aca="false">IF(Q44+Q46=0,0,MIN(MAX(Q48,0),Q44+Q46)*Q46/(Q44+Q46))</f>
        <v>0</v>
      </c>
      <c r="R50" s="57" t="n">
        <f aca="false">IF(R44+R46=0,0,MIN(MAX(R48,0),R44+R46)*R46/(R44+R46))</f>
        <v>0</v>
      </c>
      <c r="S50" s="57" t="n">
        <f aca="false">IF(S44+S46=0,0,MIN(MAX(S48,0),S44+S46)*S46/(S44+S46))</f>
        <v>0</v>
      </c>
      <c r="T50" s="57" t="n">
        <f aca="false">IF(T44+T46=0,0,MIN(MAX(T48,0),T44+T46)*T46/(T44+T46))</f>
        <v>0</v>
      </c>
      <c r="U50" s="57" t="n">
        <f aca="false">IF(U44+U46=0,0,MIN(MAX(U48,0),U44+U46)*U46/(U44+U46))</f>
        <v>0</v>
      </c>
      <c r="V50" s="57" t="n">
        <f aca="false">IF(V44+V46=0,0,MIN(MAX(V48,0),V44+V46)*V46/(V44+V46))</f>
        <v>0</v>
      </c>
      <c r="W50" s="57" t="n">
        <f aca="false">IF(W44+W46=0,0,MIN(MAX(W48,0),W44+W46)*W46/(W44+W46))</f>
        <v>0</v>
      </c>
      <c r="X50" s="57" t="n">
        <f aca="false">IF(X44+X46=0,0,MIN(MAX(X48,0),X44+X46)*X46/(X44+X46))</f>
        <v>0</v>
      </c>
      <c r="Y50" s="57" t="n">
        <f aca="false">IF(Y44+Y46=0,0,MIN(MAX(Y48,0),Y44+Y46)*Y46/(Y44+Y46))</f>
        <v>0</v>
      </c>
      <c r="Z50" s="57" t="n">
        <f aca="false">IF(Z44+Z46=0,0,MIN(MAX(Z48,0),Z44+Z46)*Z46/(Z44+Z46))</f>
        <v>0</v>
      </c>
      <c r="AA50" s="57" t="n">
        <f aca="false">IF(AA44+AA46=0,0,MIN(MAX(AA48,0),AA44+AA46)*AA46/(AA44+AA46))</f>
        <v>0</v>
      </c>
      <c r="AB50" s="57" t="n">
        <f aca="false">IF(AB44+AB46=0,0,MIN(MAX(AB48,0),AB44+AB46)*AB46/(AB44+AB46))</f>
        <v>0</v>
      </c>
      <c r="AC50" s="57" t="n">
        <f aca="false">IF(AC44+AC46=0,0,MIN(MAX(AC48,0),AC44+AC46)*AC46/(AC44+AC46))</f>
        <v>0</v>
      </c>
      <c r="AD50" s="57" t="n">
        <f aca="false">IF(AD44+AD46=0,0,MIN(MAX(AD48,0),AD44+AD46)*AD46/(AD44+AD46))</f>
        <v>0</v>
      </c>
      <c r="AE50" s="57" t="n">
        <f aca="false">IF(AE44+AE46=0,0,MIN(MAX(AE48,0),AE44+AE46)*AE46/(AE44+AE46))</f>
        <v>0</v>
      </c>
      <c r="AF50" s="57" t="n">
        <f aca="false">IF(AF44+AF46=0,0,MIN(MAX(AF48,0),AF44+AF46)*AF46/(AF44+AF46))</f>
        <v>0</v>
      </c>
      <c r="AG50" s="57" t="n">
        <f aca="false">IF(AG44+AG46=0,0,MIN(MAX(AG48,0),AG44+AG46)*AG46/(AG44+AG46))</f>
        <v>0</v>
      </c>
      <c r="AH50" s="57" t="n">
        <f aca="false">IF(AH44+AH46=0,0,MIN(MAX(AH48,0),AH44+AH46)*AH46/(AH44+AH46))</f>
        <v>0</v>
      </c>
    </row>
    <row r="51" customFormat="false" ht="15" hidden="false" customHeight="true" outlineLevel="0" collapsed="false">
      <c r="B51" s="4" t="s">
        <v>826</v>
      </c>
      <c r="E51" s="57" t="n">
        <f aca="false">E44-E49</f>
        <v>0</v>
      </c>
      <c r="F51" s="57" t="n">
        <f aca="false">F44-F49</f>
        <v>0</v>
      </c>
      <c r="G51" s="57" t="n">
        <f aca="false">G44-G49</f>
        <v>9.19291926075658</v>
      </c>
      <c r="H51" s="57" t="n">
        <f aca="false">H44-H49</f>
        <v>2.62088582866225</v>
      </c>
      <c r="I51" s="57" t="n">
        <f aca="false">I44-I49</f>
        <v>0.994895997912071</v>
      </c>
      <c r="J51" s="57" t="n">
        <f aca="false">J44-J49</f>
        <v>1.11428351766152</v>
      </c>
      <c r="K51" s="57" t="n">
        <f aca="false">K44-K49</f>
        <v>1.2479975397809</v>
      </c>
      <c r="L51" s="57" t="n">
        <f aca="false">L44-L49</f>
        <v>1.39775724455461</v>
      </c>
      <c r="M51" s="57" t="n">
        <f aca="false">M44-M49</f>
        <v>1.56548811390116</v>
      </c>
      <c r="N51" s="57" t="n">
        <f aca="false">N44-N49</f>
        <v>1.7533466875693</v>
      </c>
      <c r="O51" s="57" t="n">
        <f aca="false">O44-O49</f>
        <v>1.96374829007762</v>
      </c>
      <c r="P51" s="57" t="n">
        <f aca="false">P44-P49</f>
        <v>2.19939808488693</v>
      </c>
      <c r="Q51" s="57" t="n">
        <f aca="false">Q44-Q49</f>
        <v>0</v>
      </c>
      <c r="R51" s="57" t="n">
        <f aca="false">R44-R49</f>
        <v>0</v>
      </c>
      <c r="S51" s="57" t="n">
        <f aca="false">S44-S49</f>
        <v>0</v>
      </c>
      <c r="T51" s="57" t="n">
        <f aca="false">T44-T49</f>
        <v>0</v>
      </c>
      <c r="U51" s="57" t="n">
        <f aca="false">U44-U49</f>
        <v>0</v>
      </c>
      <c r="V51" s="57" t="n">
        <f aca="false">V44-V49</f>
        <v>0</v>
      </c>
      <c r="W51" s="57" t="n">
        <f aca="false">W44-W49</f>
        <v>0</v>
      </c>
      <c r="X51" s="57" t="n">
        <f aca="false">X44-X49</f>
        <v>0</v>
      </c>
      <c r="Y51" s="57" t="n">
        <f aca="false">Y44-Y49</f>
        <v>0</v>
      </c>
      <c r="Z51" s="57" t="n">
        <f aca="false">Z44-Z49</f>
        <v>0</v>
      </c>
      <c r="AA51" s="57" t="n">
        <f aca="false">AA44-AA49</f>
        <v>0</v>
      </c>
      <c r="AB51" s="57" t="n">
        <f aca="false">AB44-AB49</f>
        <v>0</v>
      </c>
      <c r="AC51" s="57" t="n">
        <f aca="false">AC44-AC49</f>
        <v>0</v>
      </c>
      <c r="AD51" s="57" t="n">
        <f aca="false">AD44-AD49</f>
        <v>0</v>
      </c>
      <c r="AE51" s="57" t="n">
        <f aca="false">AE44-AE49</f>
        <v>0</v>
      </c>
      <c r="AF51" s="57" t="n">
        <f aca="false">AF44-AF49</f>
        <v>0</v>
      </c>
      <c r="AG51" s="57" t="n">
        <f aca="false">AG44-AG49</f>
        <v>0</v>
      </c>
      <c r="AH51" s="57" t="n">
        <f aca="false">AH44-AH49</f>
        <v>0</v>
      </c>
    </row>
    <row r="52" customFormat="false" ht="15" hidden="false" customHeight="true" outlineLevel="0" collapsed="false">
      <c r="B52" s="4" t="s">
        <v>827</v>
      </c>
      <c r="D52" s="59" t="n">
        <f aca="false">SUM(E52:AH52)</f>
        <v>0</v>
      </c>
      <c r="E52" s="57" t="n">
        <f aca="false">E46-E50</f>
        <v>0</v>
      </c>
      <c r="F52" s="57" t="n">
        <f aca="false">F46-F50</f>
        <v>0</v>
      </c>
      <c r="G52" s="57" t="n">
        <f aca="false">G46-G50</f>
        <v>0</v>
      </c>
      <c r="H52" s="57" t="n">
        <f aca="false">H46-H50</f>
        <v>0</v>
      </c>
      <c r="I52" s="57" t="n">
        <f aca="false">I46-I50</f>
        <v>0</v>
      </c>
      <c r="J52" s="57" t="n">
        <f aca="false">J46-J50</f>
        <v>0</v>
      </c>
      <c r="K52" s="57" t="n">
        <f aca="false">K46-K50</f>
        <v>0</v>
      </c>
      <c r="L52" s="57" t="n">
        <f aca="false">L46-L50</f>
        <v>0</v>
      </c>
      <c r="M52" s="57" t="n">
        <f aca="false">M46-M50</f>
        <v>0</v>
      </c>
      <c r="N52" s="57" t="n">
        <f aca="false">N46-N50</f>
        <v>0</v>
      </c>
      <c r="O52" s="57" t="n">
        <f aca="false">O46-O50</f>
        <v>0</v>
      </c>
      <c r="P52" s="57" t="n">
        <f aca="false">P46-P50</f>
        <v>0</v>
      </c>
      <c r="Q52" s="57" t="n">
        <f aca="false">Q46-Q50</f>
        <v>0</v>
      </c>
      <c r="R52" s="57" t="n">
        <f aca="false">R46-R50</f>
        <v>0</v>
      </c>
      <c r="S52" s="57" t="n">
        <f aca="false">S46-S50</f>
        <v>0</v>
      </c>
      <c r="T52" s="57" t="n">
        <f aca="false">T46-T50</f>
        <v>0</v>
      </c>
      <c r="U52" s="57" t="n">
        <f aca="false">U46-U50</f>
        <v>0</v>
      </c>
      <c r="V52" s="57" t="n">
        <f aca="false">V46-V50</f>
        <v>0</v>
      </c>
      <c r="W52" s="57" t="n">
        <f aca="false">W46-W50</f>
        <v>0</v>
      </c>
      <c r="X52" s="57" t="n">
        <f aca="false">X46-X50</f>
        <v>0</v>
      </c>
      <c r="Y52" s="57" t="n">
        <f aca="false">Y46-Y50</f>
        <v>0</v>
      </c>
      <c r="Z52" s="57" t="n">
        <f aca="false">Z46-Z50</f>
        <v>0</v>
      </c>
      <c r="AA52" s="57" t="n">
        <f aca="false">AA46-AA50</f>
        <v>0</v>
      </c>
      <c r="AB52" s="57" t="n">
        <f aca="false">AB46-AB50</f>
        <v>0</v>
      </c>
      <c r="AC52" s="57" t="n">
        <f aca="false">AC46-AC50</f>
        <v>0</v>
      </c>
      <c r="AD52" s="57" t="n">
        <f aca="false">AD46-AD50</f>
        <v>0</v>
      </c>
      <c r="AE52" s="57" t="n">
        <f aca="false">AE46-AE50</f>
        <v>0</v>
      </c>
      <c r="AF52" s="57" t="n">
        <f aca="false">AF46-AF50</f>
        <v>0</v>
      </c>
      <c r="AG52" s="57" t="n">
        <f aca="false">AG46-AG50</f>
        <v>0</v>
      </c>
      <c r="AH52" s="57" t="n">
        <f aca="false">AH46-AH50</f>
        <v>0</v>
      </c>
    </row>
    <row r="53" customFormat="false" ht="15" hidden="false" customHeight="true" outlineLevel="0" collapsed="false">
      <c r="B53" s="4" t="s">
        <v>828</v>
      </c>
      <c r="E53" s="57" t="n">
        <f aca="false">E48-E49-E50</f>
        <v>0</v>
      </c>
      <c r="F53" s="57" t="n">
        <f aca="false">F48-F49-F50</f>
        <v>0</v>
      </c>
      <c r="G53" s="57" t="n">
        <f aca="false">G48-G49-G50</f>
        <v>0</v>
      </c>
      <c r="H53" s="57" t="n">
        <f aca="false">H48-H49-H50</f>
        <v>0</v>
      </c>
      <c r="I53" s="57" t="n">
        <f aca="false">I48-I49-I50</f>
        <v>0</v>
      </c>
      <c r="J53" s="57" t="n">
        <f aca="false">J48-J49-J50</f>
        <v>0</v>
      </c>
      <c r="K53" s="57" t="n">
        <f aca="false">K48-K49-K50</f>
        <v>0</v>
      </c>
      <c r="L53" s="57" t="n">
        <f aca="false">L48-L49-L50</f>
        <v>0</v>
      </c>
      <c r="M53" s="57" t="n">
        <f aca="false">M48-M49-M50</f>
        <v>0</v>
      </c>
      <c r="N53" s="57" t="n">
        <f aca="false">N48-N49-N50</f>
        <v>0</v>
      </c>
      <c r="O53" s="57" t="n">
        <f aca="false">O48-O49-O50</f>
        <v>0</v>
      </c>
      <c r="P53" s="57" t="n">
        <f aca="false">P48-P49-P50</f>
        <v>0</v>
      </c>
      <c r="Q53" s="57" t="n">
        <f aca="false">Q48-Q49-Q50</f>
        <v>15.0356759187827</v>
      </c>
      <c r="R53" s="57" t="n">
        <f aca="false">R48-R49-R50</f>
        <v>44.1240513611463</v>
      </c>
      <c r="S53" s="57" t="n">
        <f aca="false">S48-S49-S50</f>
        <v>22.2274243360747</v>
      </c>
      <c r="T53" s="57" t="n">
        <f aca="false">T48-T49-T50</f>
        <v>30.698479909005</v>
      </c>
      <c r="U53" s="57" t="n">
        <f aca="false">U48-U49-U50</f>
        <v>27.5863106869037</v>
      </c>
      <c r="V53" s="57" t="n">
        <f aca="false">V48-V49-V50</f>
        <v>27.0789638526528</v>
      </c>
      <c r="W53" s="57" t="n">
        <f aca="false">W48-W49-W50</f>
        <v>26.7237578314602</v>
      </c>
      <c r="X53" s="57" t="n">
        <f aca="false">X48-X49-X50</f>
        <v>26.4600394897851</v>
      </c>
      <c r="Y53" s="57" t="n">
        <f aca="false">Y48-Y49-Y50</f>
        <v>26.2514161347365</v>
      </c>
      <c r="Z53" s="57" t="n">
        <f aca="false">Z48-Z49-Z50</f>
        <v>26.0760513410638</v>
      </c>
      <c r="AA53" s="57" t="n">
        <f aca="false">AA48-AA49-AA50</f>
        <v>25.9208424473393</v>
      </c>
      <c r="AB53" s="57" t="n">
        <f aca="false">AB48-AB49-AB50</f>
        <v>25.7779270536538</v>
      </c>
      <c r="AC53" s="57" t="n">
        <f aca="false">AC48-AC49-AC50</f>
        <v>25.6425869202215</v>
      </c>
      <c r="AD53" s="57" t="n">
        <f aca="false">AD48-AD49-AD50</f>
        <v>25.51199030653</v>
      </c>
      <c r="AE53" s="57" t="n">
        <f aca="false">AE48-AE49-AE50</f>
        <v>21.8432653059082</v>
      </c>
      <c r="AF53" s="57" t="n">
        <f aca="false">AF48-AF49-AF50</f>
        <v>12.550864143394</v>
      </c>
      <c r="AG53" s="57" t="n">
        <f aca="false">AG48-AG49-AG50</f>
        <v>0</v>
      </c>
      <c r="AH53" s="57" t="n">
        <f aca="false">AH48-AH49-AH50</f>
        <v>0</v>
      </c>
    </row>
    <row r="54" customFormat="false" ht="15" hidden="false" customHeight="true" outlineLevel="0" collapsed="false">
      <c r="B54" s="4" t="s">
        <v>829</v>
      </c>
      <c r="D54" s="59" t="n">
        <f aca="false">SUM(E54:AH54)</f>
        <v>120.730349026394</v>
      </c>
      <c r="E54" s="57" t="n">
        <f aca="false">IF(Inputs!$C$104=1,MIN(E44,Inputs!$C$105*MAX(0,E139-E14)),E44)</f>
        <v>0</v>
      </c>
      <c r="F54" s="57" t="n">
        <f aca="false">IF(Inputs!$C$104=1,MIN(F44,Inputs!$C$105*MAX(0,F139-F14)),F44)</f>
        <v>0</v>
      </c>
      <c r="G54" s="57" t="n">
        <f aca="false">IF(Inputs!$C$104=1,MIN(G44,Inputs!$C$105*MAX(0,G139-G14)),G44)</f>
        <v>9.19291926075658</v>
      </c>
      <c r="H54" s="57" t="n">
        <f aca="false">IF(Inputs!$C$104=1,MIN(H44,Inputs!$C$105*MAX(0,H139-H14)),H44)</f>
        <v>10.2960695720474</v>
      </c>
      <c r="I54" s="57" t="n">
        <f aca="false">IF(Inputs!$C$104=1,MIN(I44,Inputs!$C$105*MAX(0,I139-I14)),I44)</f>
        <v>10.6105758714868</v>
      </c>
      <c r="J54" s="57" t="n">
        <f aca="false">IF(Inputs!$C$104=1,MIN(J44,Inputs!$C$105*MAX(0,J139-J14)),J44)</f>
        <v>10.7299633912363</v>
      </c>
      <c r="K54" s="57" t="n">
        <f aca="false">IF(Inputs!$C$104=1,MIN(K44,Inputs!$C$105*MAX(0,K139-K14)),K44)</f>
        <v>10.8636774133557</v>
      </c>
      <c r="L54" s="57" t="n">
        <f aca="false">IF(Inputs!$C$104=1,MIN(L44,Inputs!$C$105*MAX(0,L139-L14)),L44)</f>
        <v>11.0134371181294</v>
      </c>
      <c r="M54" s="57" t="n">
        <f aca="false">IF(Inputs!$C$104=1,MIN(M44,Inputs!$C$105*MAX(0,M139-M14)),M44)</f>
        <v>11.1811679874759</v>
      </c>
      <c r="N54" s="57" t="n">
        <f aca="false">IF(Inputs!$C$104=1,MIN(N44,Inputs!$C$105*MAX(0,N139-N14)),N44)</f>
        <v>11.3690265611441</v>
      </c>
      <c r="O54" s="57" t="n">
        <f aca="false">IF(Inputs!$C$104=1,MIN(O44,Inputs!$C$105*MAX(0,O139-O14)),O44)</f>
        <v>11.5794281636524</v>
      </c>
      <c r="P54" s="57" t="n">
        <f aca="false">IF(Inputs!$C$104=1,MIN(P44,Inputs!$C$105*MAX(0,P139-P14)),P44)</f>
        <v>11.8150779584617</v>
      </c>
      <c r="Q54" s="57" t="n">
        <f aca="false">IF(Inputs!$C$104=1,MIN(Q44,Inputs!$C$105*MAX(0,Q139-Q14)),Q44)</f>
        <v>12.0790057286481</v>
      </c>
      <c r="R54" s="57" t="n">
        <f aca="false">IF(Inputs!$C$104=1,MIN(R44,Inputs!$C$105*MAX(0,R139-R14)),R44)</f>
        <v>0</v>
      </c>
      <c r="S54" s="57" t="n">
        <f aca="false">IF(Inputs!$C$104=1,MIN(S44,Inputs!$C$105*MAX(0,S139-S14)),S44)</f>
        <v>0</v>
      </c>
      <c r="T54" s="57" t="n">
        <f aca="false">IF(Inputs!$C$104=1,MIN(T44,Inputs!$C$105*MAX(0,T139-T14)),T44)</f>
        <v>0</v>
      </c>
      <c r="U54" s="57" t="n">
        <f aca="false">IF(Inputs!$C$104=1,MIN(U44,Inputs!$C$105*MAX(0,U139-U14)),U44)</f>
        <v>0</v>
      </c>
      <c r="V54" s="57" t="n">
        <f aca="false">IF(Inputs!$C$104=1,MIN(V44,Inputs!$C$105*MAX(0,V139-V14)),V44)</f>
        <v>0</v>
      </c>
      <c r="W54" s="57" t="n">
        <f aca="false">IF(Inputs!$C$104=1,MIN(W44,Inputs!$C$105*MAX(0,W139-W14)),W44)</f>
        <v>0</v>
      </c>
      <c r="X54" s="57" t="n">
        <f aca="false">IF(Inputs!$C$104=1,MIN(X44,Inputs!$C$105*MAX(0,X139-X14)),X44)</f>
        <v>0</v>
      </c>
      <c r="Y54" s="57" t="n">
        <f aca="false">IF(Inputs!$C$104=1,MIN(Y44,Inputs!$C$105*MAX(0,Y139-Y14)),Y44)</f>
        <v>0</v>
      </c>
      <c r="Z54" s="57" t="n">
        <f aca="false">IF(Inputs!$C$104=1,MIN(Z44,Inputs!$C$105*MAX(0,Z139-Z14)),Z44)</f>
        <v>0</v>
      </c>
      <c r="AA54" s="57" t="n">
        <f aca="false">IF(Inputs!$C$104=1,MIN(AA44,Inputs!$C$105*MAX(0,AA139-AA14)),AA44)</f>
        <v>0</v>
      </c>
      <c r="AB54" s="57" t="n">
        <f aca="false">IF(Inputs!$C$104=1,MIN(AB44,Inputs!$C$105*MAX(0,AB139-AB14)),AB44)</f>
        <v>0</v>
      </c>
      <c r="AC54" s="57" t="n">
        <f aca="false">IF(Inputs!$C$104=1,MIN(AC44,Inputs!$C$105*MAX(0,AC139-AC14)),AC44)</f>
        <v>0</v>
      </c>
      <c r="AD54" s="57" t="n">
        <f aca="false">IF(Inputs!$C$104=1,MIN(AD44,Inputs!$C$105*MAX(0,AD139-AD14)),AD44)</f>
        <v>0</v>
      </c>
      <c r="AE54" s="57" t="n">
        <f aca="false">IF(Inputs!$C$104=1,MIN(AE44,Inputs!$C$105*MAX(0,AE139-AE14)),AE44)</f>
        <v>0</v>
      </c>
      <c r="AF54" s="57" t="n">
        <f aca="false">IF(Inputs!$C$104=1,MIN(AF44,Inputs!$C$105*MAX(0,AF139-AF14)),AF44)</f>
        <v>0</v>
      </c>
      <c r="AG54" s="57" t="n">
        <f aca="false">IF(Inputs!$C$104=1,MIN(AG44,Inputs!$C$105*MAX(0,AG139-AG14)),AG44)</f>
        <v>0</v>
      </c>
      <c r="AH54" s="57" t="n">
        <f aca="false">IF(Inputs!$C$104=1,MIN(AH44,Inputs!$C$105*MAX(0,AH139-AH14)),AH44)</f>
        <v>0</v>
      </c>
    </row>
    <row r="55" customFormat="false" ht="15" hidden="false" customHeight="true" outlineLevel="0" collapsed="false">
      <c r="B55" s="4" t="s">
        <v>830</v>
      </c>
      <c r="E55" s="57" t="n">
        <f aca="false">E139-E14-E54-E46</f>
        <v>-0.2</v>
      </c>
      <c r="F55" s="57" t="n">
        <f aca="false">F139-F14-F54-F46</f>
        <v>1.12302339202929</v>
      </c>
      <c r="G55" s="57" t="n">
        <f aca="false">G139-G14-G54-G46</f>
        <v>-2.99076830457082</v>
      </c>
      <c r="H55" s="57" t="n">
        <f aca="false">H139-H14-H54-H46</f>
        <v>-1.18963928385006</v>
      </c>
      <c r="I55" s="57" t="n">
        <f aca="false">I139-I14-I54-I46</f>
        <v>-0.994895997912071</v>
      </c>
      <c r="J55" s="57" t="n">
        <f aca="false">J139-J14-J54-J46</f>
        <v>-1.11428351766152</v>
      </c>
      <c r="K55" s="57" t="n">
        <f aca="false">K139-K14-K54-K46</f>
        <v>-1.2479975397809</v>
      </c>
      <c r="L55" s="57" t="n">
        <f aca="false">L139-L14-L54-L46</f>
        <v>-1.39775724455461</v>
      </c>
      <c r="M55" s="57" t="n">
        <f aca="false">M139-M14-M54-M46</f>
        <v>-1.56548811390116</v>
      </c>
      <c r="N55" s="57" t="n">
        <f aca="false">N139-N14-N54-N46</f>
        <v>-1.7533466875693</v>
      </c>
      <c r="O55" s="57" t="n">
        <f aca="false">O139-O14-O54-O46</f>
        <v>-1.96374829007762</v>
      </c>
      <c r="P55" s="57" t="n">
        <f aca="false">P139-P14-P54-P46</f>
        <v>-2.19939808488693</v>
      </c>
      <c r="Q55" s="57" t="n">
        <f aca="false">Q139-Q14-Q54-Q46</f>
        <v>-5.61721924970832</v>
      </c>
      <c r="R55" s="57" t="n">
        <f aca="false">R139-R14-R54-R46</f>
        <v>-0.2</v>
      </c>
      <c r="S55" s="57" t="n">
        <f aca="false">S139-S14-S54-S46</f>
        <v>-0.2</v>
      </c>
      <c r="T55" s="57" t="n">
        <f aca="false">T139-T14-T54-T46</f>
        <v>-0.2</v>
      </c>
      <c r="U55" s="57" t="n">
        <f aca="false">U139-U14-U54-U46</f>
        <v>-0.2</v>
      </c>
      <c r="V55" s="57" t="n">
        <f aca="false">V139-V14-V54-V46</f>
        <v>-0.2</v>
      </c>
      <c r="W55" s="57" t="n">
        <f aca="false">W139-W14-W54-W46</f>
        <v>-0.2</v>
      </c>
      <c r="X55" s="57" t="n">
        <f aca="false">X139-X14-X54-X46</f>
        <v>-0.2</v>
      </c>
      <c r="Y55" s="57" t="n">
        <f aca="false">Y139-Y14-Y54-Y46</f>
        <v>-0.2</v>
      </c>
      <c r="Z55" s="57" t="n">
        <f aca="false">Z139-Z14-Z54-Z46</f>
        <v>-0.2</v>
      </c>
      <c r="AA55" s="57" t="n">
        <f aca="false">AA139-AA14-AA54-AA46</f>
        <v>-0.2</v>
      </c>
      <c r="AB55" s="57" t="n">
        <f aca="false">AB139-AB14-AB54-AB46</f>
        <v>-0.2</v>
      </c>
      <c r="AC55" s="57" t="n">
        <f aca="false">AC139-AC14-AC54-AC46</f>
        <v>-0.2</v>
      </c>
      <c r="AD55" s="57" t="n">
        <f aca="false">AD139-AD14-AD54-AD46</f>
        <v>-0.2</v>
      </c>
      <c r="AE55" s="57" t="n">
        <f aca="false">AE139-AE14-AE54-AE46</f>
        <v>-0.2</v>
      </c>
      <c r="AF55" s="57" t="n">
        <f aca="false">AF139-AF14-AF54-AF46</f>
        <v>-0.2</v>
      </c>
      <c r="AG55" s="57" t="n">
        <f aca="false">AG139-AG14-AG54-AG46</f>
        <v>0</v>
      </c>
      <c r="AH55" s="57" t="n">
        <f aca="false">AH139-AH14-AH54-AH46</f>
        <v>0</v>
      </c>
    </row>
    <row r="56" customFormat="false" ht="15" hidden="false" customHeight="true" outlineLevel="0" collapsed="false">
      <c r="B56" s="4" t="s">
        <v>721</v>
      </c>
      <c r="E56" s="57" t="s">
        <v>808</v>
      </c>
      <c r="F56" s="57" t="n">
        <f aca="false">E58</f>
        <v>0.2</v>
      </c>
      <c r="G56" s="57" t="n">
        <f aca="false">F58</f>
        <v>0</v>
      </c>
      <c r="H56" s="57" t="n">
        <f aca="false">G58</f>
        <v>2.99076830457082</v>
      </c>
      <c r="I56" s="57" t="n">
        <f aca="false">H58</f>
        <v>4.18040758842088</v>
      </c>
      <c r="J56" s="57" t="n">
        <f aca="false">I58</f>
        <v>5.17530358633295</v>
      </c>
      <c r="K56" s="57" t="n">
        <f aca="false">J58</f>
        <v>6.28958710399447</v>
      </c>
      <c r="L56" s="57" t="n">
        <f aca="false">K58</f>
        <v>7.53758464377537</v>
      </c>
      <c r="M56" s="57" t="n">
        <f aca="false">L58</f>
        <v>8.93534188832998</v>
      </c>
      <c r="N56" s="57" t="n">
        <f aca="false">M58</f>
        <v>10.5008300022311</v>
      </c>
      <c r="O56" s="57" t="n">
        <f aca="false">N58</f>
        <v>12.2541766898004</v>
      </c>
      <c r="P56" s="57" t="n">
        <f aca="false">O58</f>
        <v>14.2179249798781</v>
      </c>
      <c r="Q56" s="57" t="n">
        <f aca="false">P58</f>
        <v>16.417323064765</v>
      </c>
      <c r="R56" s="57" t="n">
        <f aca="false">Q58</f>
        <v>22.0345423144733</v>
      </c>
      <c r="S56" s="57" t="n">
        <f aca="false">R58</f>
        <v>22.2345423144733</v>
      </c>
      <c r="T56" s="57" t="n">
        <f aca="false">S58</f>
        <v>22.4345423144733</v>
      </c>
      <c r="U56" s="57" t="n">
        <f aca="false">T58</f>
        <v>22.6345423144733</v>
      </c>
      <c r="V56" s="57" t="n">
        <f aca="false">U58</f>
        <v>22.8345423144733</v>
      </c>
      <c r="W56" s="57" t="n">
        <f aca="false">V58</f>
        <v>23.0345423144733</v>
      </c>
      <c r="X56" s="57" t="n">
        <f aca="false">W58</f>
        <v>23.2345423144733</v>
      </c>
      <c r="Y56" s="57" t="n">
        <f aca="false">X58</f>
        <v>23.4345423144733</v>
      </c>
      <c r="Z56" s="57" t="n">
        <f aca="false">Y58</f>
        <v>23.6345423144733</v>
      </c>
      <c r="AA56" s="57" t="n">
        <f aca="false">Z58</f>
        <v>23.8345423144733</v>
      </c>
      <c r="AB56" s="57" t="n">
        <f aca="false">AA58</f>
        <v>24.0345423144733</v>
      </c>
      <c r="AC56" s="57" t="n">
        <f aca="false">AB58</f>
        <v>24.2345423144733</v>
      </c>
      <c r="AD56" s="57" t="n">
        <f aca="false">AC58</f>
        <v>24.4345423144733</v>
      </c>
      <c r="AE56" s="57" t="n">
        <f aca="false">AD58</f>
        <v>24.6345423144733</v>
      </c>
      <c r="AF56" s="57" t="n">
        <f aca="false">AE58</f>
        <v>24.8345423144733</v>
      </c>
      <c r="AG56" s="57" t="n">
        <f aca="false">AF58</f>
        <v>25.0345423144733</v>
      </c>
      <c r="AH56" s="57" t="n">
        <f aca="false">AG58</f>
        <v>25.0345423144733</v>
      </c>
    </row>
    <row r="57" customFormat="false" ht="15" hidden="false" customHeight="true" outlineLevel="0" collapsed="false">
      <c r="B57" s="4" t="s">
        <v>722</v>
      </c>
      <c r="E57" s="57" t="n">
        <f aca="false">IF(E55&gt;0,MIN(E56,E55),0)</f>
        <v>0</v>
      </c>
      <c r="F57" s="57" t="n">
        <f aca="false">IF(F55&gt;0,MIN(F56,F55),0)</f>
        <v>0.2</v>
      </c>
      <c r="G57" s="57" t="n">
        <f aca="false">IF(G55&gt;0,MIN(G56,G55),0)</f>
        <v>0</v>
      </c>
      <c r="H57" s="57" t="n">
        <f aca="false">IF(H55&gt;0,MIN(H56,H55),0)</f>
        <v>0</v>
      </c>
      <c r="I57" s="57" t="n">
        <f aca="false">IF(I55&gt;0,MIN(I56,I55),0)</f>
        <v>0</v>
      </c>
      <c r="J57" s="57" t="n">
        <f aca="false">IF(J55&gt;0,MIN(J56,J55),0)</f>
        <v>0</v>
      </c>
      <c r="K57" s="57" t="n">
        <f aca="false">IF(K55&gt;0,MIN(K56,K55),0)</f>
        <v>0</v>
      </c>
      <c r="L57" s="57" t="n">
        <f aca="false">IF(L55&gt;0,MIN(L56,L55),0)</f>
        <v>0</v>
      </c>
      <c r="M57" s="57" t="n">
        <f aca="false">IF(M55&gt;0,MIN(M56,M55),0)</f>
        <v>0</v>
      </c>
      <c r="N57" s="57" t="n">
        <f aca="false">IF(N55&gt;0,MIN(N56,N55),0)</f>
        <v>0</v>
      </c>
      <c r="O57" s="57" t="n">
        <f aca="false">IF(O55&gt;0,MIN(O56,O55),0)</f>
        <v>0</v>
      </c>
      <c r="P57" s="57" t="n">
        <f aca="false">IF(P55&gt;0,MIN(P56,P55),0)</f>
        <v>0</v>
      </c>
      <c r="Q57" s="57" t="n">
        <f aca="false">IF(Q55&gt;0,MIN(Q56,Q55),0)</f>
        <v>0</v>
      </c>
      <c r="R57" s="57" t="n">
        <f aca="false">IF(R55&gt;0,MIN(R56,R55),0)</f>
        <v>0</v>
      </c>
      <c r="S57" s="57" t="n">
        <f aca="false">IF(S55&gt;0,MIN(S56,S55),0)</f>
        <v>0</v>
      </c>
      <c r="T57" s="57" t="n">
        <f aca="false">IF(T55&gt;0,MIN(T56,T55),0)</f>
        <v>0</v>
      </c>
      <c r="U57" s="57" t="n">
        <f aca="false">IF(U55&gt;0,MIN(U56,U55),0)</f>
        <v>0</v>
      </c>
      <c r="V57" s="57" t="n">
        <f aca="false">IF(V55&gt;0,MIN(V56,V55),0)</f>
        <v>0</v>
      </c>
      <c r="W57" s="57" t="n">
        <f aca="false">IF(W55&gt;0,MIN(W56,W55),0)</f>
        <v>0</v>
      </c>
      <c r="X57" s="57" t="n">
        <f aca="false">IF(X55&gt;0,MIN(X56,X55),0)</f>
        <v>0</v>
      </c>
      <c r="Y57" s="57" t="n">
        <f aca="false">IF(Y55&gt;0,MIN(Y56,Y55),0)</f>
        <v>0</v>
      </c>
      <c r="Z57" s="57" t="n">
        <f aca="false">IF(Z55&gt;0,MIN(Z56,Z55),0)</f>
        <v>0</v>
      </c>
      <c r="AA57" s="57" t="n">
        <f aca="false">IF(AA55&gt;0,MIN(AA56,AA55),0)</f>
        <v>0</v>
      </c>
      <c r="AB57" s="57" t="n">
        <f aca="false">IF(AB55&gt;0,MIN(AB56,AB55),0)</f>
        <v>0</v>
      </c>
      <c r="AC57" s="57" t="n">
        <f aca="false">IF(AC55&gt;0,MIN(AC56,AC55),0)</f>
        <v>0</v>
      </c>
      <c r="AD57" s="57" t="n">
        <f aca="false">IF(AD55&gt;0,MIN(AD56,AD55),0)</f>
        <v>0</v>
      </c>
      <c r="AE57" s="57" t="n">
        <f aca="false">IF(AE55&gt;0,MIN(AE56,AE55),0)</f>
        <v>0</v>
      </c>
      <c r="AF57" s="57" t="n">
        <f aca="false">IF(AF55&gt;0,MIN(AF56,AF55),0)</f>
        <v>0</v>
      </c>
      <c r="AG57" s="57" t="n">
        <f aca="false">IF(AG55&gt;0,MIN(AG56,AG55),0)</f>
        <v>0</v>
      </c>
      <c r="AH57" s="57" t="n">
        <f aca="false">IF(AH55&gt;0,MIN(AH56,AH55),0)</f>
        <v>0</v>
      </c>
    </row>
    <row r="58" customFormat="false" ht="15" hidden="false" customHeight="true" outlineLevel="0" collapsed="false">
      <c r="B58" s="4" t="s">
        <v>723</v>
      </c>
      <c r="E58" s="57" t="n">
        <f aca="false">E56-E57+MAX(0,-E55)</f>
        <v>0.2</v>
      </c>
      <c r="F58" s="57" t="n">
        <f aca="false">F56-F57+MAX(0,-F55)</f>
        <v>0</v>
      </c>
      <c r="G58" s="57" t="n">
        <f aca="false">G56-G57+MAX(0,-G55)</f>
        <v>2.99076830457082</v>
      </c>
      <c r="H58" s="57" t="n">
        <f aca="false">H56-H57+MAX(0,-H55)</f>
        <v>4.18040758842088</v>
      </c>
      <c r="I58" s="57" t="n">
        <f aca="false">I56-I57+MAX(0,-I55)</f>
        <v>5.17530358633295</v>
      </c>
      <c r="J58" s="57" t="n">
        <f aca="false">J56-J57+MAX(0,-J55)</f>
        <v>6.28958710399447</v>
      </c>
      <c r="K58" s="57" t="n">
        <f aca="false">K56-K57+MAX(0,-K55)</f>
        <v>7.53758464377537</v>
      </c>
      <c r="L58" s="57" t="n">
        <f aca="false">L56-L57+MAX(0,-L55)</f>
        <v>8.93534188832998</v>
      </c>
      <c r="M58" s="57" t="n">
        <f aca="false">M56-M57+MAX(0,-M55)</f>
        <v>10.5008300022311</v>
      </c>
      <c r="N58" s="57" t="n">
        <f aca="false">N56-N57+MAX(0,-N55)</f>
        <v>12.2541766898004</v>
      </c>
      <c r="O58" s="57" t="n">
        <f aca="false">O56-O57+MAX(0,-O55)</f>
        <v>14.2179249798781</v>
      </c>
      <c r="P58" s="57" t="n">
        <f aca="false">P56-P57+MAX(0,-P55)</f>
        <v>16.417323064765</v>
      </c>
      <c r="Q58" s="57" t="n">
        <f aca="false">Q56-Q57+MAX(0,-Q55)</f>
        <v>22.0345423144733</v>
      </c>
      <c r="R58" s="57" t="n">
        <f aca="false">R56-R57+MAX(0,-R55)</f>
        <v>22.2345423144733</v>
      </c>
      <c r="S58" s="57" t="n">
        <f aca="false">S56-S57+MAX(0,-S55)</f>
        <v>22.4345423144733</v>
      </c>
      <c r="T58" s="57" t="n">
        <f aca="false">T56-T57+MAX(0,-T55)</f>
        <v>22.6345423144733</v>
      </c>
      <c r="U58" s="57" t="n">
        <f aca="false">U56-U57+MAX(0,-U55)</f>
        <v>22.8345423144733</v>
      </c>
      <c r="V58" s="57" t="n">
        <f aca="false">V56-V57+MAX(0,-V55)</f>
        <v>23.0345423144733</v>
      </c>
      <c r="W58" s="57" t="n">
        <f aca="false">W56-W57+MAX(0,-W55)</f>
        <v>23.2345423144733</v>
      </c>
      <c r="X58" s="57" t="n">
        <f aca="false">X56-X57+MAX(0,-X55)</f>
        <v>23.4345423144733</v>
      </c>
      <c r="Y58" s="57" t="n">
        <f aca="false">Y56-Y57+MAX(0,-Y55)</f>
        <v>23.6345423144733</v>
      </c>
      <c r="Z58" s="57" t="n">
        <f aca="false">Z56-Z57+MAX(0,-Z55)</f>
        <v>23.8345423144733</v>
      </c>
      <c r="AA58" s="57" t="n">
        <f aca="false">AA56-AA57+MAX(0,-AA55)</f>
        <v>24.0345423144733</v>
      </c>
      <c r="AB58" s="57" t="n">
        <f aca="false">AB56-AB57+MAX(0,-AB55)</f>
        <v>24.2345423144733</v>
      </c>
      <c r="AC58" s="57" t="n">
        <f aca="false">AC56-AC57+MAX(0,-AC55)</f>
        <v>24.4345423144733</v>
      </c>
      <c r="AD58" s="57" t="n">
        <f aca="false">AD56-AD57+MAX(0,-AD55)</f>
        <v>24.6345423144733</v>
      </c>
      <c r="AE58" s="57" t="n">
        <f aca="false">AE56-AE57+MAX(0,-AE55)</f>
        <v>24.8345423144733</v>
      </c>
      <c r="AF58" s="57" t="n">
        <f aca="false">AF56-AF57+MAX(0,-AF55)</f>
        <v>25.0345423144733</v>
      </c>
      <c r="AG58" s="57" t="n">
        <f aca="false">AG56-AG57+MAX(0,-AG55)</f>
        <v>25.0345423144733</v>
      </c>
      <c r="AH58" s="57" t="n">
        <f aca="false">AH56-AH57+MAX(0,-AH55)</f>
        <v>25.0345423144733</v>
      </c>
    </row>
    <row r="59" customFormat="false" ht="15" hidden="false" customHeight="true" outlineLevel="0" collapsed="false">
      <c r="B59" s="4" t="s">
        <v>831</v>
      </c>
      <c r="D59" s="59" t="n">
        <f aca="false">SUM(E59:AH59)</f>
        <v>0.232306527305933</v>
      </c>
      <c r="E59" s="57" t="n">
        <f aca="false">MAX(0,E55-E57)*Inputs!$C$85</f>
        <v>0</v>
      </c>
      <c r="F59" s="57" t="n">
        <f aca="false">MAX(0,F55-F57)*Inputs!$C$85</f>
        <v>0.232306527305933</v>
      </c>
      <c r="G59" s="57" t="n">
        <f aca="false">MAX(0,G55-G57)*Inputs!$C$85</f>
        <v>0</v>
      </c>
      <c r="H59" s="57" t="n">
        <f aca="false">MAX(0,H55-H57)*Inputs!$C$85</f>
        <v>0</v>
      </c>
      <c r="I59" s="57" t="n">
        <f aca="false">MAX(0,I55-I57)*Inputs!$C$85</f>
        <v>0</v>
      </c>
      <c r="J59" s="57" t="n">
        <f aca="false">MAX(0,J55-J57)*Inputs!$C$85</f>
        <v>0</v>
      </c>
      <c r="K59" s="57" t="n">
        <f aca="false">MAX(0,K55-K57)*Inputs!$C$85</f>
        <v>0</v>
      </c>
      <c r="L59" s="57" t="n">
        <f aca="false">MAX(0,L55-L57)*Inputs!$C$85</f>
        <v>0</v>
      </c>
      <c r="M59" s="57" t="n">
        <f aca="false">MAX(0,M55-M57)*Inputs!$C$85</f>
        <v>0</v>
      </c>
      <c r="N59" s="57" t="n">
        <f aca="false">MAX(0,N55-N57)*Inputs!$C$85</f>
        <v>0</v>
      </c>
      <c r="O59" s="57" t="n">
        <f aca="false">MAX(0,O55-O57)*Inputs!$C$85</f>
        <v>0</v>
      </c>
      <c r="P59" s="57" t="n">
        <f aca="false">MAX(0,P55-P57)*Inputs!$C$85</f>
        <v>0</v>
      </c>
      <c r="Q59" s="57" t="n">
        <f aca="false">MAX(0,Q55-Q57)*Inputs!$C$85</f>
        <v>0</v>
      </c>
      <c r="R59" s="57" t="n">
        <f aca="false">MAX(0,R55-R57)*Inputs!$C$85</f>
        <v>0</v>
      </c>
      <c r="S59" s="57" t="n">
        <f aca="false">MAX(0,S55-S57)*Inputs!$C$85</f>
        <v>0</v>
      </c>
      <c r="T59" s="57" t="n">
        <f aca="false">MAX(0,T55-T57)*Inputs!$C$85</f>
        <v>0</v>
      </c>
      <c r="U59" s="57" t="n">
        <f aca="false">MAX(0,U55-U57)*Inputs!$C$85</f>
        <v>0</v>
      </c>
      <c r="V59" s="57" t="n">
        <f aca="false">MAX(0,V55-V57)*Inputs!$C$85</f>
        <v>0</v>
      </c>
      <c r="W59" s="57" t="n">
        <f aca="false">MAX(0,W55-W57)*Inputs!$C$85</f>
        <v>0</v>
      </c>
      <c r="X59" s="57" t="n">
        <f aca="false">MAX(0,X55-X57)*Inputs!$C$85</f>
        <v>0</v>
      </c>
      <c r="Y59" s="57" t="n">
        <f aca="false">MAX(0,Y55-Y57)*Inputs!$C$85</f>
        <v>0</v>
      </c>
      <c r="Z59" s="57" t="n">
        <f aca="false">MAX(0,Z55-Z57)*Inputs!$C$85</f>
        <v>0</v>
      </c>
      <c r="AA59" s="57" t="n">
        <f aca="false">MAX(0,AA55-AA57)*Inputs!$C$85</f>
        <v>0</v>
      </c>
      <c r="AB59" s="57" t="n">
        <f aca="false">MAX(0,AB55-AB57)*Inputs!$C$85</f>
        <v>0</v>
      </c>
      <c r="AC59" s="57" t="n">
        <f aca="false">MAX(0,AC55-AC57)*Inputs!$C$85</f>
        <v>0</v>
      </c>
      <c r="AD59" s="57" t="n">
        <f aca="false">MAX(0,AD55-AD57)*Inputs!$C$85</f>
        <v>0</v>
      </c>
      <c r="AE59" s="57" t="n">
        <f aca="false">MAX(0,AE55-AE57)*Inputs!$C$85</f>
        <v>0</v>
      </c>
      <c r="AF59" s="57" t="n">
        <f aca="false">MAX(0,AF55-AF57)*Inputs!$C$85</f>
        <v>0</v>
      </c>
      <c r="AG59" s="57" t="n">
        <f aca="false">MAX(0,AG55-AG57)*Inputs!$C$85</f>
        <v>0</v>
      </c>
      <c r="AH59" s="57" t="n">
        <f aca="false">MAX(0,AH55-AH57)*Inputs!$C$85</f>
        <v>0</v>
      </c>
    </row>
    <row r="60" customFormat="false" ht="15" hidden="false" customHeight="true" outlineLevel="0" collapsed="false">
      <c r="B60" s="4" t="s">
        <v>832</v>
      </c>
      <c r="D60" s="59" t="n">
        <f aca="false">SUM(E60:AH60)</f>
        <v>285.332267053712</v>
      </c>
      <c r="E60" s="57" t="n">
        <f aca="false">E139+E20-E14-E36-E44-E46-E59</f>
        <v>-0.2</v>
      </c>
      <c r="F60" s="57" t="n">
        <f aca="false">F139+F20-F14-F36-F44-F46-F59</f>
        <v>-1.10725642514097</v>
      </c>
      <c r="G60" s="57" t="n">
        <f aca="false">G139+G20-G14-G36-G44-G46-G59</f>
        <v>-2.99076830457082</v>
      </c>
      <c r="H60" s="57" t="n">
        <f aca="false">H139+H20-H14-H36-H44-H46-H59</f>
        <v>-1.18963928385006</v>
      </c>
      <c r="I60" s="57" t="n">
        <f aca="false">I139+I20-I14-I36-I44-I46-I59</f>
        <v>-0.994895997912071</v>
      </c>
      <c r="J60" s="57" t="n">
        <f aca="false">J139+J20-J14-J36-J44-J46-J59</f>
        <v>-1.11428351766152</v>
      </c>
      <c r="K60" s="57" t="n">
        <f aca="false">K139+K20-K14-K36-K44-K46-K59</f>
        <v>-1.2479975397809</v>
      </c>
      <c r="L60" s="57" t="n">
        <f aca="false">L139+L20-L14-L36-L44-L46-L59</f>
        <v>-1.39775724455461</v>
      </c>
      <c r="M60" s="57" t="n">
        <f aca="false">M139+M20-M14-M36-M44-M46-M59</f>
        <v>-1.56548811390116</v>
      </c>
      <c r="N60" s="57" t="n">
        <f aca="false">N139+N20-N14-N36-N44-N46-N59</f>
        <v>-1.7533466875693</v>
      </c>
      <c r="O60" s="57" t="n">
        <f aca="false">O139+O20-O14-O36-O44-O46-O59</f>
        <v>-1.96374829007762</v>
      </c>
      <c r="P60" s="57" t="n">
        <f aca="false">P139+P20-P14-P36-P44-P46-P59</f>
        <v>-2.19939808488693</v>
      </c>
      <c r="Q60" s="57" t="n">
        <f aca="false">Q139+Q20-Q14-Q36-Q44-Q46-Q59</f>
        <v>-0.813106615175434</v>
      </c>
      <c r="R60" s="57" t="n">
        <f aca="false">R139+R20-R14-R36-R44-R46-R59</f>
        <v>7.31225694933008</v>
      </c>
      <c r="S60" s="57" t="n">
        <f aca="false">S139+S20-S14-S36-S44-S46-S59</f>
        <v>8.08144377165407</v>
      </c>
      <c r="T60" s="57" t="n">
        <f aca="false">T139+T20-T14-T36-T44-T46-T59</f>
        <v>16.5524993445844</v>
      </c>
      <c r="U60" s="57" t="n">
        <f aca="false">U139+U20-U14-U36-U44-U46-U59</f>
        <v>13.6548549185988</v>
      </c>
      <c r="V60" s="57" t="n">
        <f aca="false">V139+V20-V14-V36-V44-V46-V59</f>
        <v>17.6525288027783</v>
      </c>
      <c r="W60" s="57" t="n">
        <f aca="false">W139+W20-W14-W36-W44-W46-W59</f>
        <v>24.581386229216</v>
      </c>
      <c r="X60" s="57" t="n">
        <f aca="false">X139+X20-X14-X36-X44-X46-X59</f>
        <v>26.4600394897851</v>
      </c>
      <c r="Y60" s="57" t="n">
        <f aca="false">Y139+Y20-Y14-Y36-Y44-Y46-Y59</f>
        <v>26.2514161347365</v>
      </c>
      <c r="Z60" s="57" t="n">
        <f aca="false">Z139+Z20-Z14-Z36-Z44-Z46-Z59</f>
        <v>26.0760513410638</v>
      </c>
      <c r="AA60" s="57" t="n">
        <f aca="false">AA139+AA20-AA14-AA36-AA44-AA46-AA59</f>
        <v>25.9208424473393</v>
      </c>
      <c r="AB60" s="57" t="n">
        <f aca="false">AB139+AB20-AB14-AB36-AB44-AB46-AB59</f>
        <v>25.7779270536538</v>
      </c>
      <c r="AC60" s="57" t="n">
        <f aca="false">AC139+AC20-AC14-AC36-AC44-AC46-AC59</f>
        <v>25.6425869202215</v>
      </c>
      <c r="AD60" s="57" t="n">
        <f aca="false">AD139+AD20-AD14-AD36-AD44-AD46-AD59</f>
        <v>25.51199030653</v>
      </c>
      <c r="AE60" s="57" t="n">
        <f aca="false">AE139+AE20-AE14-AE36-AE44-AE46-AE59</f>
        <v>21.8432653059082</v>
      </c>
      <c r="AF60" s="57" t="n">
        <f aca="false">AF139+AF20-AF14-AF36-AF44-AF46-AF59</f>
        <v>12.550864143394</v>
      </c>
      <c r="AG60" s="57" t="n">
        <f aca="false">AG139+AG20-AG14-AG36-AG44-AG46-AG59</f>
        <v>0</v>
      </c>
      <c r="AH60" s="57" t="n">
        <f aca="false">AH139+AH20-AH14-AH36-AH44-AH46-AH59</f>
        <v>0</v>
      </c>
    </row>
    <row r="61" customFormat="false" ht="15" hidden="false" customHeight="true" outlineLevel="0" collapsed="false">
      <c r="B61" s="4" t="s">
        <v>745</v>
      </c>
      <c r="E61" s="57" t="s">
        <v>808</v>
      </c>
      <c r="F61" s="57" t="n">
        <f aca="false">E63</f>
        <v>-0.2</v>
      </c>
      <c r="G61" s="57" t="n">
        <f aca="false">F63</f>
        <v>-1.30725642514097</v>
      </c>
      <c r="H61" s="57" t="n">
        <f aca="false">G63</f>
        <v>-4.29802472971178</v>
      </c>
      <c r="I61" s="57" t="n">
        <f aca="false">H63</f>
        <v>-5.48766401356185</v>
      </c>
      <c r="J61" s="57" t="n">
        <f aca="false">I63</f>
        <v>-6.48256001147392</v>
      </c>
      <c r="K61" s="57" t="n">
        <f aca="false">J63</f>
        <v>-7.59684352913544</v>
      </c>
      <c r="L61" s="57" t="n">
        <f aca="false">K63</f>
        <v>-8.84484106891634</v>
      </c>
      <c r="M61" s="57" t="n">
        <f aca="false">L63</f>
        <v>-10.2425983134709</v>
      </c>
      <c r="N61" s="57" t="n">
        <f aca="false">M63</f>
        <v>-11.8080864273721</v>
      </c>
      <c r="O61" s="57" t="n">
        <f aca="false">N63</f>
        <v>-13.5614331149414</v>
      </c>
      <c r="P61" s="57" t="n">
        <f aca="false">O63</f>
        <v>-15.525181405019</v>
      </c>
      <c r="Q61" s="57" t="n">
        <f aca="false">P63</f>
        <v>-17.724579489906</v>
      </c>
      <c r="R61" s="57" t="n">
        <f aca="false">Q63</f>
        <v>-18.5376861050814</v>
      </c>
      <c r="S61" s="57" t="n">
        <f aca="false">R63</f>
        <v>-11.2254291557513</v>
      </c>
      <c r="T61" s="57" t="n">
        <f aca="false">S63</f>
        <v>-3.14398538409725</v>
      </c>
      <c r="U61" s="57" t="n">
        <f aca="false">T63</f>
        <v>0</v>
      </c>
      <c r="V61" s="57" t="n">
        <f aca="false">U63</f>
        <v>0</v>
      </c>
      <c r="W61" s="57" t="n">
        <f aca="false">V63</f>
        <v>0</v>
      </c>
      <c r="X61" s="57" t="n">
        <f aca="false">W63</f>
        <v>0</v>
      </c>
      <c r="Y61" s="57" t="n">
        <f aca="false">X63</f>
        <v>0</v>
      </c>
      <c r="Z61" s="57" t="n">
        <f aca="false">Y63</f>
        <v>0</v>
      </c>
      <c r="AA61" s="57" t="n">
        <f aca="false">Z63</f>
        <v>0</v>
      </c>
      <c r="AB61" s="57" t="n">
        <f aca="false">AA63</f>
        <v>0</v>
      </c>
      <c r="AC61" s="57" t="n">
        <f aca="false">AB63</f>
        <v>0</v>
      </c>
      <c r="AD61" s="57" t="n">
        <f aca="false">AC63</f>
        <v>0</v>
      </c>
      <c r="AE61" s="57" t="n">
        <f aca="false">AD63</f>
        <v>0</v>
      </c>
      <c r="AF61" s="57" t="n">
        <f aca="false">AE63</f>
        <v>0</v>
      </c>
      <c r="AG61" s="57" t="n">
        <f aca="false">AF63</f>
        <v>0</v>
      </c>
      <c r="AH61" s="57" t="n">
        <f aca="false">AG63</f>
        <v>0</v>
      </c>
    </row>
    <row r="62" customFormat="false" ht="15" hidden="false" customHeight="true" outlineLevel="0" collapsed="false">
      <c r="B62" s="4" t="s">
        <v>833</v>
      </c>
      <c r="D62" s="59" t="n">
        <f aca="false">SUM(E62:AH62)</f>
        <v>285.332267053712</v>
      </c>
      <c r="E62" s="57" t="n">
        <f aca="false">MAX(0,MIN(E53-E65,E61+E60))</f>
        <v>0</v>
      </c>
      <c r="F62" s="57" t="n">
        <f aca="false">MAX(0,MIN(F53-F65,F61+F60))</f>
        <v>0</v>
      </c>
      <c r="G62" s="57" t="n">
        <f aca="false">MAX(0,MIN(G53-G65,G61+G60))</f>
        <v>0</v>
      </c>
      <c r="H62" s="57" t="n">
        <f aca="false">MAX(0,MIN(H53-H65,H61+H60))</f>
        <v>0</v>
      </c>
      <c r="I62" s="57" t="n">
        <f aca="false">MAX(0,MIN(I53-I65,I61+I60))</f>
        <v>0</v>
      </c>
      <c r="J62" s="57" t="n">
        <f aca="false">MAX(0,MIN(J53-J65,J61+J60))</f>
        <v>0</v>
      </c>
      <c r="K62" s="57" t="n">
        <f aca="false">MAX(0,MIN(K53-K65,K61+K60))</f>
        <v>0</v>
      </c>
      <c r="L62" s="57" t="n">
        <f aca="false">MAX(0,MIN(L53-L65,L61+L60))</f>
        <v>0</v>
      </c>
      <c r="M62" s="57" t="n">
        <f aca="false">MAX(0,MIN(M53-M65,M61+M60))</f>
        <v>0</v>
      </c>
      <c r="N62" s="57" t="n">
        <f aca="false">MAX(0,MIN(N53-N65,N61+N60))</f>
        <v>0</v>
      </c>
      <c r="O62" s="57" t="n">
        <f aca="false">MAX(0,MIN(O53-O65,O61+O60))</f>
        <v>0</v>
      </c>
      <c r="P62" s="57" t="n">
        <f aca="false">MAX(0,MIN(P53-P65,P61+P60))</f>
        <v>0</v>
      </c>
      <c r="Q62" s="57" t="n">
        <f aca="false">MAX(0,MIN(Q53-Q65,Q61+Q60))</f>
        <v>0</v>
      </c>
      <c r="R62" s="57" t="n">
        <f aca="false">MAX(0,MIN(R53-R65,R61+R60))</f>
        <v>0</v>
      </c>
      <c r="S62" s="57" t="n">
        <f aca="false">MAX(0,MIN(S53-S65,S61+S60))</f>
        <v>0</v>
      </c>
      <c r="T62" s="57" t="n">
        <f aca="false">MAX(0,MIN(T53-T65,T61+T60))</f>
        <v>13.4085139604871</v>
      </c>
      <c r="U62" s="57" t="n">
        <f aca="false">MAX(0,MIN(U53-U65,U61+U60))</f>
        <v>13.6548549185988</v>
      </c>
      <c r="V62" s="57" t="n">
        <f aca="false">MAX(0,MIN(V53-V65,V61+V60))</f>
        <v>17.6525288027783</v>
      </c>
      <c r="W62" s="57" t="n">
        <f aca="false">MAX(0,MIN(W53-W65,W61+W60))</f>
        <v>24.581386229216</v>
      </c>
      <c r="X62" s="57" t="n">
        <f aca="false">MAX(0,MIN(X53-X65,X61+X60))</f>
        <v>26.4600394897851</v>
      </c>
      <c r="Y62" s="57" t="n">
        <f aca="false">MAX(0,MIN(Y53-Y65,Y61+Y60))</f>
        <v>26.2514161347365</v>
      </c>
      <c r="Z62" s="57" t="n">
        <f aca="false">MAX(0,MIN(Z53-Z65,Z61+Z60))</f>
        <v>26.0760513410638</v>
      </c>
      <c r="AA62" s="57" t="n">
        <f aca="false">MAX(0,MIN(AA53-AA65,AA61+AA60))</f>
        <v>25.9208424473393</v>
      </c>
      <c r="AB62" s="57" t="n">
        <f aca="false">MAX(0,MIN(AB53-AB65,AB61+AB60))</f>
        <v>25.7779270536538</v>
      </c>
      <c r="AC62" s="57" t="n">
        <f aca="false">MAX(0,MIN(AC53-AC65,AC61+AC60))</f>
        <v>25.6425869202215</v>
      </c>
      <c r="AD62" s="57" t="n">
        <f aca="false">MAX(0,MIN(AD53-AD65,AD61+AD60))</f>
        <v>25.51199030653</v>
      </c>
      <c r="AE62" s="57" t="n">
        <f aca="false">MAX(0,MIN(AE53-AE65,AE61+AE60))</f>
        <v>21.8432653059082</v>
      </c>
      <c r="AF62" s="57" t="n">
        <f aca="false">MAX(0,MIN(AF53-AF65,AF61+AF60))</f>
        <v>12.550864143394</v>
      </c>
      <c r="AG62" s="57" t="n">
        <f aca="false">MAX(0,MIN(AG53-AG65,AG61+AG60))</f>
        <v>0</v>
      </c>
      <c r="AH62" s="57" t="n">
        <f aca="false">MAX(0,MIN(AH53-AH65,AH61+AH60))</f>
        <v>0</v>
      </c>
    </row>
    <row r="63" customFormat="false" ht="15" hidden="false" customHeight="true" outlineLevel="0" collapsed="false">
      <c r="B63" s="4" t="s">
        <v>747</v>
      </c>
      <c r="E63" s="57" t="n">
        <f aca="false">E61+E60-E62</f>
        <v>-0.2</v>
      </c>
      <c r="F63" s="57" t="n">
        <f aca="false">F61+F60-F62</f>
        <v>-1.30725642514097</v>
      </c>
      <c r="G63" s="57" t="n">
        <f aca="false">G61+G60-G62</f>
        <v>-4.29802472971178</v>
      </c>
      <c r="H63" s="57" t="n">
        <f aca="false">H61+H60-H62</f>
        <v>-5.48766401356185</v>
      </c>
      <c r="I63" s="57" t="n">
        <f aca="false">I61+I60-I62</f>
        <v>-6.48256001147392</v>
      </c>
      <c r="J63" s="57" t="n">
        <f aca="false">J61+J60-J62</f>
        <v>-7.59684352913544</v>
      </c>
      <c r="K63" s="57" t="n">
        <f aca="false">K61+K60-K62</f>
        <v>-8.84484106891634</v>
      </c>
      <c r="L63" s="57" t="n">
        <f aca="false">L61+L60-L62</f>
        <v>-10.2425983134709</v>
      </c>
      <c r="M63" s="57" t="n">
        <f aca="false">M61+M60-M62</f>
        <v>-11.8080864273721</v>
      </c>
      <c r="N63" s="57" t="n">
        <f aca="false">N61+N60-N62</f>
        <v>-13.5614331149414</v>
      </c>
      <c r="O63" s="57" t="n">
        <f aca="false">O61+O60-O62</f>
        <v>-15.525181405019</v>
      </c>
      <c r="P63" s="57" t="n">
        <f aca="false">P61+P60-P62</f>
        <v>-17.724579489906</v>
      </c>
      <c r="Q63" s="57" t="n">
        <f aca="false">Q61+Q60-Q62</f>
        <v>-18.5376861050814</v>
      </c>
      <c r="R63" s="57" t="n">
        <f aca="false">R61+R60-R62</f>
        <v>-11.2254291557513</v>
      </c>
      <c r="S63" s="57" t="n">
        <f aca="false">S61+S60-S62</f>
        <v>-3.14398538409725</v>
      </c>
      <c r="T63" s="57" t="n">
        <f aca="false">T61+T60-T62</f>
        <v>0</v>
      </c>
      <c r="U63" s="57" t="n">
        <f aca="false">U61+U60-U62</f>
        <v>0</v>
      </c>
      <c r="V63" s="57" t="n">
        <f aca="false">V61+V60-V62</f>
        <v>0</v>
      </c>
      <c r="W63" s="57" t="n">
        <f aca="false">W61+W60-W62</f>
        <v>0</v>
      </c>
      <c r="X63" s="57" t="n">
        <f aca="false">X61+X60-X62</f>
        <v>0</v>
      </c>
      <c r="Y63" s="57" t="n">
        <f aca="false">Y61+Y60-Y62</f>
        <v>0</v>
      </c>
      <c r="Z63" s="57" t="n">
        <f aca="false">Z61+Z60-Z62</f>
        <v>0</v>
      </c>
      <c r="AA63" s="57" t="n">
        <f aca="false">AA61+AA60-AA62</f>
        <v>0</v>
      </c>
      <c r="AB63" s="57" t="n">
        <f aca="false">AB61+AB60-AB62</f>
        <v>0</v>
      </c>
      <c r="AC63" s="57" t="n">
        <f aca="false">AC61+AC60-AC62</f>
        <v>0</v>
      </c>
      <c r="AD63" s="57" t="n">
        <f aca="false">AD61+AD60-AD62</f>
        <v>0</v>
      </c>
      <c r="AE63" s="57" t="n">
        <f aca="false">AE61+AE60-AE62</f>
        <v>0</v>
      </c>
      <c r="AF63" s="57" t="n">
        <f aca="false">AF61+AF60-AF62</f>
        <v>0</v>
      </c>
      <c r="AG63" s="57" t="n">
        <f aca="false">AG61+AG60-AG62</f>
        <v>0</v>
      </c>
      <c r="AH63" s="57" t="n">
        <f aca="false">AH61+AH60-AH62</f>
        <v>0</v>
      </c>
    </row>
    <row r="64" customFormat="false" ht="15" hidden="false" customHeight="true" outlineLevel="0" collapsed="false">
      <c r="B64" s="4" t="s">
        <v>834</v>
      </c>
      <c r="E64" s="57" t="n">
        <f aca="false">E53-E65-E62</f>
        <v>0</v>
      </c>
      <c r="F64" s="57" t="n">
        <f aca="false">F53-F65-F62</f>
        <v>0</v>
      </c>
      <c r="G64" s="57" t="n">
        <f aca="false">G53-G65-G62</f>
        <v>0</v>
      </c>
      <c r="H64" s="57" t="n">
        <f aca="false">H53-H65-H62</f>
        <v>0</v>
      </c>
      <c r="I64" s="57" t="n">
        <f aca="false">I53-I65-I62</f>
        <v>0</v>
      </c>
      <c r="J64" s="57" t="n">
        <f aca="false">J53-J65-J62</f>
        <v>0</v>
      </c>
      <c r="K64" s="57" t="n">
        <f aca="false">K53-K65-K62</f>
        <v>0</v>
      </c>
      <c r="L64" s="57" t="n">
        <f aca="false">L53-L65-L62</f>
        <v>0</v>
      </c>
      <c r="M64" s="57" t="n">
        <f aca="false">M53-M65-M62</f>
        <v>0</v>
      </c>
      <c r="N64" s="57" t="n">
        <f aca="false">N53-N65-N62</f>
        <v>0</v>
      </c>
      <c r="O64" s="57" t="n">
        <f aca="false">O53-O65-O62</f>
        <v>0</v>
      </c>
      <c r="P64" s="57" t="n">
        <f aca="false">P53-P65-P62</f>
        <v>0</v>
      </c>
      <c r="Q64" s="57" t="n">
        <f aca="false">Q53-Q65-Q62</f>
        <v>15.0356759187827</v>
      </c>
      <c r="R64" s="57" t="n">
        <f aca="false">R53-R65-R62</f>
        <v>44.1240513611463</v>
      </c>
      <c r="S64" s="57" t="n">
        <f aca="false">S53-S65-S62</f>
        <v>22.2274243360747</v>
      </c>
      <c r="T64" s="57" t="n">
        <f aca="false">T53-T65-T62</f>
        <v>17.2899659485179</v>
      </c>
      <c r="U64" s="57" t="n">
        <f aca="false">U53-U65-U62</f>
        <v>13.9314557683049</v>
      </c>
      <c r="V64" s="57" t="n">
        <f aca="false">V53-V65-V62</f>
        <v>9.42643504987447</v>
      </c>
      <c r="W64" s="57" t="n">
        <f aca="false">W53-W65-W62</f>
        <v>2.14237160224417</v>
      </c>
      <c r="X64" s="57" t="n">
        <f aca="false">X53-X65-X62</f>
        <v>0</v>
      </c>
      <c r="Y64" s="57" t="n">
        <f aca="false">Y53-Y65-Y62</f>
        <v>0</v>
      </c>
      <c r="Z64" s="57" t="n">
        <f aca="false">Z53-Z65-Z62</f>
        <v>0</v>
      </c>
      <c r="AA64" s="57" t="n">
        <f aca="false">AA53-AA65-AA62</f>
        <v>0</v>
      </c>
      <c r="AB64" s="57" t="n">
        <f aca="false">AB53-AB65-AB62</f>
        <v>0</v>
      </c>
      <c r="AC64" s="57" t="n">
        <f aca="false">AC53-AC65-AC62</f>
        <v>0</v>
      </c>
      <c r="AD64" s="57" t="n">
        <f aca="false">AD53-AD65-AD62</f>
        <v>0</v>
      </c>
      <c r="AE64" s="57" t="n">
        <f aca="false">AE53-AE65-AE62</f>
        <v>0</v>
      </c>
      <c r="AF64" s="57" t="n">
        <f aca="false">AF53-AF65-AF62</f>
        <v>0</v>
      </c>
      <c r="AG64" s="57" t="n">
        <f aca="false">AG53-AG65-AG62</f>
        <v>0</v>
      </c>
      <c r="AH64" s="57" t="n">
        <f aca="false">AH53-AH65-AH62</f>
        <v>0</v>
      </c>
    </row>
    <row r="65" customFormat="false" ht="15" hidden="false" customHeight="true" outlineLevel="0" collapsed="false">
      <c r="B65" s="4" t="s">
        <v>835</v>
      </c>
      <c r="D65" s="59" t="n">
        <f aca="false">SUM(E65:AH65)</f>
        <v>0</v>
      </c>
      <c r="E65" s="57" t="n">
        <f aca="false">IF(Inputs!$C$80=2,MIN(MAX(E53,0),E43+E51),0)</f>
        <v>0</v>
      </c>
      <c r="F65" s="57" t="n">
        <f aca="false">IF(Inputs!$C$80=2,MIN(MAX(F53,0),F43+F51),0)</f>
        <v>0</v>
      </c>
      <c r="G65" s="57" t="n">
        <f aca="false">IF(Inputs!$C$80=2,MIN(MAX(G53,0),G43+G51),0)</f>
        <v>0</v>
      </c>
      <c r="H65" s="57" t="n">
        <f aca="false">IF(Inputs!$C$80=2,MIN(MAX(H53,0),H43+H51),0)</f>
        <v>0</v>
      </c>
      <c r="I65" s="57" t="n">
        <f aca="false">IF(Inputs!$C$80=2,MIN(MAX(I53,0),I43+I51),0)</f>
        <v>0</v>
      </c>
      <c r="J65" s="57" t="n">
        <f aca="false">IF(Inputs!$C$80=2,MIN(MAX(J53,0),J43+J51),0)</f>
        <v>0</v>
      </c>
      <c r="K65" s="57" t="n">
        <f aca="false">IF(Inputs!$C$80=2,MIN(MAX(K53,0),K43+K51),0)</f>
        <v>0</v>
      </c>
      <c r="L65" s="57" t="n">
        <f aca="false">IF(Inputs!$C$80=2,MIN(MAX(L53,0),L43+L51),0)</f>
        <v>0</v>
      </c>
      <c r="M65" s="57" t="n">
        <f aca="false">IF(Inputs!$C$80=2,MIN(MAX(M53,0),M43+M51),0)</f>
        <v>0</v>
      </c>
      <c r="N65" s="57" t="n">
        <f aca="false">IF(Inputs!$C$80=2,MIN(MAX(N53,0),N43+N51),0)</f>
        <v>0</v>
      </c>
      <c r="O65" s="57" t="n">
        <f aca="false">IF(Inputs!$C$80=2,MIN(MAX(O53,0),O43+O51),0)</f>
        <v>0</v>
      </c>
      <c r="P65" s="57" t="n">
        <f aca="false">IF(Inputs!$C$80=2,MIN(MAX(P53,0),P43+P51),0)</f>
        <v>0</v>
      </c>
      <c r="Q65" s="57" t="n">
        <f aca="false">IF(Inputs!$C$80=2,MIN(MAX(Q53,0),Q43+Q51),0)</f>
        <v>0</v>
      </c>
      <c r="R65" s="57" t="n">
        <f aca="false">IF(Inputs!$C$80=2,MIN(MAX(R53,0),R43+R51),0)</f>
        <v>0</v>
      </c>
      <c r="S65" s="57" t="n">
        <f aca="false">IF(Inputs!$C$80=2,MIN(MAX(S53,0),S43+S51),0)</f>
        <v>0</v>
      </c>
      <c r="T65" s="57" t="n">
        <f aca="false">IF(Inputs!$C$80=2,MIN(MAX(T53,0),T43+T51),0)</f>
        <v>0</v>
      </c>
      <c r="U65" s="57" t="n">
        <f aca="false">IF(Inputs!$C$80=2,MIN(MAX(U53,0),U43+U51),0)</f>
        <v>0</v>
      </c>
      <c r="V65" s="57" t="n">
        <f aca="false">IF(Inputs!$C$80=2,MIN(MAX(V53,0),V43+V51),0)</f>
        <v>0</v>
      </c>
      <c r="W65" s="57" t="n">
        <f aca="false">IF(Inputs!$C$80=2,MIN(MAX(W53,0),W43+W51),0)</f>
        <v>0</v>
      </c>
      <c r="X65" s="57" t="n">
        <f aca="false">IF(Inputs!$C$80=2,MIN(MAX(X53,0),X43+X51),0)</f>
        <v>0</v>
      </c>
      <c r="Y65" s="57" t="n">
        <f aca="false">IF(Inputs!$C$80=2,MIN(MAX(Y53,0),Y43+Y51),0)</f>
        <v>0</v>
      </c>
      <c r="Z65" s="57" t="n">
        <f aca="false">IF(Inputs!$C$80=2,MIN(MAX(Z53,0),Z43+Z51),0)</f>
        <v>0</v>
      </c>
      <c r="AA65" s="57" t="n">
        <f aca="false">IF(Inputs!$C$80=2,MIN(MAX(AA53,0),AA43+AA51),0)</f>
        <v>0</v>
      </c>
      <c r="AB65" s="57" t="n">
        <f aca="false">IF(Inputs!$C$80=2,MIN(MAX(AB53,0),AB43+AB51),0)</f>
        <v>0</v>
      </c>
      <c r="AC65" s="57" t="n">
        <f aca="false">IF(Inputs!$C$80=2,MIN(MAX(AC53,0),AC43+AC51),0)</f>
        <v>0</v>
      </c>
      <c r="AD65" s="57" t="n">
        <f aca="false">IF(Inputs!$C$80=2,MIN(MAX(AD53,0),AD43+AD51),0)</f>
        <v>0</v>
      </c>
      <c r="AE65" s="57" t="n">
        <f aca="false">IF(Inputs!$C$80=2,MIN(MAX(AE53,0),AE43+AE51),0)</f>
        <v>0</v>
      </c>
      <c r="AF65" s="57" t="n">
        <f aca="false">IF(Inputs!$C$80=2,MIN(MAX(AF53,0),AF43+AF51),0)</f>
        <v>0</v>
      </c>
      <c r="AG65" s="57" t="n">
        <f aca="false">IF(Inputs!$C$80=2,MIN(MAX(AG53,0),AG43+AG51),0)</f>
        <v>0</v>
      </c>
      <c r="AH65" s="57" t="n">
        <f aca="false">IF(Inputs!$C$80=2,MIN(MAX(AH53,0),AH43+AH51),0)</f>
        <v>0</v>
      </c>
    </row>
    <row r="66" customFormat="false" ht="15" hidden="false" customHeight="true" outlineLevel="0" collapsed="false">
      <c r="B66" s="4" t="s">
        <v>836</v>
      </c>
      <c r="D66" s="59" t="n">
        <f aca="false">SUM(E66:AH66)</f>
        <v>100.658381072068</v>
      </c>
      <c r="E66" s="57" t="n">
        <f aca="false">IF(AND(Inputs!$C$80=1,E5=Inputs!$C$82),E43+E41+E51-E65,0)</f>
        <v>0</v>
      </c>
      <c r="F66" s="57" t="n">
        <f aca="false">IF(AND(Inputs!$C$80=1,F5=Inputs!$C$82),F43+F41+F51-F65,0)</f>
        <v>0</v>
      </c>
      <c r="G66" s="57" t="n">
        <f aca="false">IF(AND(Inputs!$C$80=1,G5=Inputs!$C$82),G43+G41+G51-G65,0)</f>
        <v>0</v>
      </c>
      <c r="H66" s="57" t="n">
        <f aca="false">IF(AND(Inputs!$C$80=1,H5=Inputs!$C$82),H43+H41+H51-H65,0)</f>
        <v>0</v>
      </c>
      <c r="I66" s="57" t="n">
        <f aca="false">IF(AND(Inputs!$C$80=1,I5=Inputs!$C$82),I43+I41+I51-I65,0)</f>
        <v>0</v>
      </c>
      <c r="J66" s="57" t="n">
        <f aca="false">IF(AND(Inputs!$C$80=1,J5=Inputs!$C$82),J43+J41+J51-J65,0)</f>
        <v>0</v>
      </c>
      <c r="K66" s="57" t="n">
        <f aca="false">IF(AND(Inputs!$C$80=1,K5=Inputs!$C$82),K43+K41+K51-K65,0)</f>
        <v>0</v>
      </c>
      <c r="L66" s="57" t="n">
        <f aca="false">IF(AND(Inputs!$C$80=1,L5=Inputs!$C$82),L43+L41+L51-L65,0)</f>
        <v>0</v>
      </c>
      <c r="M66" s="57" t="n">
        <f aca="false">IF(AND(Inputs!$C$80=1,M5=Inputs!$C$82),M43+M41+M51-M65,0)</f>
        <v>0</v>
      </c>
      <c r="N66" s="57" t="n">
        <f aca="false">IF(AND(Inputs!$C$80=1,N5=Inputs!$C$82),N43+N41+N51-N65,0)</f>
        <v>0</v>
      </c>
      <c r="O66" s="57" t="n">
        <f aca="false">IF(AND(Inputs!$C$80=1,O5=Inputs!$C$82),O43+O41+O51-O65,0)</f>
        <v>0</v>
      </c>
      <c r="P66" s="57" t="n">
        <f aca="false">IF(AND(Inputs!$C$80=1,P5=Inputs!$C$82),P43+P41+P51-P65,0)</f>
        <v>0</v>
      </c>
      <c r="Q66" s="57" t="n">
        <f aca="false">IF(AND(Inputs!$C$80=1,Q5=Inputs!$C$82),Q43+Q41+Q51-Q65,0)</f>
        <v>100.658381072068</v>
      </c>
      <c r="R66" s="57" t="n">
        <f aca="false">IF(AND(Inputs!$C$80=1,R5=Inputs!$C$82),R43+R41+R51-R65,0)</f>
        <v>0</v>
      </c>
      <c r="S66" s="57" t="n">
        <f aca="false">IF(AND(Inputs!$C$80=1,S5=Inputs!$C$82),S43+S41+S51-S65,0)</f>
        <v>0</v>
      </c>
      <c r="T66" s="57" t="n">
        <f aca="false">IF(AND(Inputs!$C$80=1,T5=Inputs!$C$82),T43+T41+T51-T65,0)</f>
        <v>0</v>
      </c>
      <c r="U66" s="57" t="n">
        <f aca="false">IF(AND(Inputs!$C$80=1,U5=Inputs!$C$82),U43+U41+U51-U65,0)</f>
        <v>0</v>
      </c>
      <c r="V66" s="57" t="n">
        <f aca="false">IF(AND(Inputs!$C$80=1,V5=Inputs!$C$82),V43+V41+V51-V65,0)</f>
        <v>0</v>
      </c>
      <c r="W66" s="57" t="n">
        <f aca="false">IF(AND(Inputs!$C$80=1,W5=Inputs!$C$82),W43+W41+W51-W65,0)</f>
        <v>0</v>
      </c>
      <c r="X66" s="57" t="n">
        <f aca="false">IF(AND(Inputs!$C$80=1,X5=Inputs!$C$82),X43+X41+X51-X65,0)</f>
        <v>0</v>
      </c>
      <c r="Y66" s="57" t="n">
        <f aca="false">IF(AND(Inputs!$C$80=1,Y5=Inputs!$C$82),Y43+Y41+Y51-Y65,0)</f>
        <v>0</v>
      </c>
      <c r="Z66" s="57" t="n">
        <f aca="false">IF(AND(Inputs!$C$80=1,Z5=Inputs!$C$82),Z43+Z41+Z51-Z65,0)</f>
        <v>0</v>
      </c>
      <c r="AA66" s="57" t="n">
        <f aca="false">IF(AND(Inputs!$C$80=1,AA5=Inputs!$C$82),AA43+AA41+AA51-AA65,0)</f>
        <v>0</v>
      </c>
      <c r="AB66" s="57" t="n">
        <f aca="false">IF(AND(Inputs!$C$80=1,AB5=Inputs!$C$82),AB43+AB41+AB51-AB65,0)</f>
        <v>0</v>
      </c>
      <c r="AC66" s="57" t="n">
        <f aca="false">IF(AND(Inputs!$C$80=1,AC5=Inputs!$C$82),AC43+AC41+AC51-AC65,0)</f>
        <v>0</v>
      </c>
      <c r="AD66" s="57" t="n">
        <f aca="false">IF(AND(Inputs!$C$80=1,AD5=Inputs!$C$82),AD43+AD41+AD51-AD65,0)</f>
        <v>0</v>
      </c>
      <c r="AE66" s="57" t="n">
        <f aca="false">IF(AND(Inputs!$C$80=1,AE5=Inputs!$C$82),AE43+AE41+AE51-AE65,0)</f>
        <v>0</v>
      </c>
      <c r="AF66" s="57" t="n">
        <f aca="false">IF(AND(Inputs!$C$80=1,AF5=Inputs!$C$82),AF43+AF41+AF51-AF65,0)</f>
        <v>0</v>
      </c>
      <c r="AG66" s="57" t="n">
        <f aca="false">IF(AND(Inputs!$C$80=1,AG5=Inputs!$C$82),AG43+AG41+AG51-AG65,0)</f>
        <v>0</v>
      </c>
      <c r="AH66" s="57" t="n">
        <f aca="false">IF(AND(Inputs!$C$80=1,AH5=Inputs!$C$82),AH43+AH41+AH51-AH65,0)</f>
        <v>0</v>
      </c>
    </row>
    <row r="67" customFormat="false" ht="15" hidden="false" customHeight="true" outlineLevel="0" collapsed="false">
      <c r="B67" s="4" t="s">
        <v>837</v>
      </c>
      <c r="E67" s="57" t="n">
        <f aca="false">E43+E41+E51-E65-E66</f>
        <v>0</v>
      </c>
      <c r="F67" s="57" t="n">
        <f aca="false">F43+F41+F51-F65-F66</f>
        <v>0</v>
      </c>
      <c r="G67" s="57" t="n">
        <f aca="false">G43+G41+G51-G65-G66</f>
        <v>85.8005797670614</v>
      </c>
      <c r="H67" s="57" t="n">
        <f aca="false">H43+H41+H51-H65-H66</f>
        <v>88.4214655957237</v>
      </c>
      <c r="I67" s="57" t="n">
        <f aca="false">I43+I41+I51-I65-I66</f>
        <v>89.4163615936357</v>
      </c>
      <c r="J67" s="57" t="n">
        <f aca="false">J43+J41+J51-J65-J66</f>
        <v>90.5306451112973</v>
      </c>
      <c r="K67" s="57" t="n">
        <f aca="false">K43+K41+K51-K65-K66</f>
        <v>91.7786426510781</v>
      </c>
      <c r="L67" s="57" t="n">
        <f aca="false">L43+L41+L51-L65-L66</f>
        <v>93.1763998956328</v>
      </c>
      <c r="M67" s="57" t="n">
        <f aca="false">M43+M41+M51-M65-M66</f>
        <v>94.7418880095339</v>
      </c>
      <c r="N67" s="57" t="n">
        <f aca="false">N43+N41+N51-N65-N66</f>
        <v>96.4952346971032</v>
      </c>
      <c r="O67" s="57" t="n">
        <f aca="false">O43+O41+O51-O65-O66</f>
        <v>98.4589829871809</v>
      </c>
      <c r="P67" s="57" t="n">
        <f aca="false">P43+P41+P51-P65-P66</f>
        <v>100.658381072068</v>
      </c>
      <c r="Q67" s="57" t="n">
        <f aca="false">Q43+Q41+Q51-Q65-Q66</f>
        <v>0</v>
      </c>
      <c r="R67" s="57" t="n">
        <f aca="false">R43+R41+R51-R65-R66</f>
        <v>0</v>
      </c>
      <c r="S67" s="57" t="n">
        <f aca="false">S43+S41+S51-S65-S66</f>
        <v>0</v>
      </c>
      <c r="T67" s="57" t="n">
        <f aca="false">T43+T41+T51-T65-T66</f>
        <v>0</v>
      </c>
      <c r="U67" s="57" t="n">
        <f aca="false">U43+U41+U51-U65-U66</f>
        <v>0</v>
      </c>
      <c r="V67" s="57" t="n">
        <f aca="false">V43+V41+V51-V65-V66</f>
        <v>0</v>
      </c>
      <c r="W67" s="57" t="n">
        <f aca="false">W43+W41+W51-W65-W66</f>
        <v>0</v>
      </c>
      <c r="X67" s="57" t="n">
        <f aca="false">X43+X41+X51-X65-X66</f>
        <v>0</v>
      </c>
      <c r="Y67" s="57" t="n">
        <f aca="false">Y43+Y41+Y51-Y65-Y66</f>
        <v>0</v>
      </c>
      <c r="Z67" s="57" t="n">
        <f aca="false">Z43+Z41+Z51-Z65-Z66</f>
        <v>0</v>
      </c>
      <c r="AA67" s="57" t="n">
        <f aca="false">AA43+AA41+AA51-AA65-AA66</f>
        <v>0</v>
      </c>
      <c r="AB67" s="57" t="n">
        <f aca="false">AB43+AB41+AB51-AB65-AB66</f>
        <v>0</v>
      </c>
      <c r="AC67" s="57" t="n">
        <f aca="false">AC43+AC41+AC51-AC65-AC66</f>
        <v>0</v>
      </c>
      <c r="AD67" s="57" t="n">
        <f aca="false">AD43+AD41+AD51-AD65-AD66</f>
        <v>0</v>
      </c>
      <c r="AE67" s="57" t="n">
        <f aca="false">AE43+AE41+AE51-AE65-AE66</f>
        <v>0</v>
      </c>
      <c r="AF67" s="57" t="n">
        <f aca="false">AF43+AF41+AF51-AF65-AF66</f>
        <v>0</v>
      </c>
      <c r="AG67" s="57" t="n">
        <f aca="false">AG43+AG41+AG51-AG65-AG66</f>
        <v>0</v>
      </c>
      <c r="AH67" s="57" t="n">
        <f aca="false">AH43+AH41+AH51-AH65-AH66</f>
        <v>0</v>
      </c>
    </row>
    <row r="68" customFormat="false" ht="15" hidden="false" customHeight="true" outlineLevel="0" collapsed="false">
      <c r="B68" s="4" t="s">
        <v>838</v>
      </c>
      <c r="D68" s="59" t="n">
        <f aca="false">SUM(E68:AH68)</f>
        <v>0</v>
      </c>
      <c r="E68" s="57" t="n">
        <f aca="false">IF(E5=Inputs!$C$97,E45+E32+E52,0)</f>
        <v>0</v>
      </c>
      <c r="F68" s="57" t="n">
        <f aca="false">IF(F5=Inputs!$C$97,F45+F32+F52,0)</f>
        <v>0</v>
      </c>
      <c r="G68" s="57" t="n">
        <f aca="false">IF(G5=Inputs!$C$97,G45+G32+G52,0)</f>
        <v>0</v>
      </c>
      <c r="H68" s="57" t="n">
        <f aca="false">IF(H5=Inputs!$C$97,H45+H32+H52,0)</f>
        <v>0</v>
      </c>
      <c r="I68" s="57" t="n">
        <f aca="false">IF(I5=Inputs!$C$97,I45+I32+I52,0)</f>
        <v>0</v>
      </c>
      <c r="J68" s="57" t="n">
        <f aca="false">IF(J5=Inputs!$C$97,J45+J32+J52,0)</f>
        <v>0</v>
      </c>
      <c r="K68" s="57" t="n">
        <f aca="false">IF(K5=Inputs!$C$97,K45+K32+K52,0)</f>
        <v>0</v>
      </c>
      <c r="L68" s="57" t="n">
        <f aca="false">IF(L5=Inputs!$C$97,L45+L32+L52,0)</f>
        <v>0</v>
      </c>
      <c r="M68" s="57" t="n">
        <f aca="false">IF(M5=Inputs!$C$97,M45+M32+M52,0)</f>
        <v>0</v>
      </c>
      <c r="N68" s="57" t="n">
        <f aca="false">IF(N5=Inputs!$C$97,N45+N32+N52,0)</f>
        <v>0</v>
      </c>
      <c r="O68" s="57" t="n">
        <f aca="false">IF(O5=Inputs!$C$97,O45+O32+O52,0)</f>
        <v>0</v>
      </c>
      <c r="P68" s="57" t="n">
        <f aca="false">IF(P5=Inputs!$C$97,P45+P32+P52,0)</f>
        <v>0</v>
      </c>
      <c r="Q68" s="57" t="n">
        <f aca="false">IF(Q5=Inputs!$C$97,Q45+Q32+Q52,0)</f>
        <v>0</v>
      </c>
      <c r="R68" s="57" t="n">
        <f aca="false">IF(R5=Inputs!$C$97,R45+R32+R52,0)</f>
        <v>0</v>
      </c>
      <c r="S68" s="57" t="n">
        <f aca="false">IF(S5=Inputs!$C$97,S45+S32+S52,0)</f>
        <v>0</v>
      </c>
      <c r="T68" s="57" t="n">
        <f aca="false">IF(T5=Inputs!$C$97,T45+T32+T52,0)</f>
        <v>0</v>
      </c>
      <c r="U68" s="57" t="n">
        <f aca="false">IF(U5=Inputs!$C$97,U45+U32+U52,0)</f>
        <v>0</v>
      </c>
      <c r="V68" s="57" t="n">
        <f aca="false">IF(V5=Inputs!$C$97,V45+V32+V52,0)</f>
        <v>0</v>
      </c>
      <c r="W68" s="57" t="n">
        <f aca="false">IF(W5=Inputs!$C$97,W45+W32+W52,0)</f>
        <v>0</v>
      </c>
      <c r="X68" s="57" t="n">
        <f aca="false">IF(X5=Inputs!$C$97,X45+X32+X52,0)</f>
        <v>0</v>
      </c>
      <c r="Y68" s="57" t="n">
        <f aca="false">IF(Y5=Inputs!$C$97,Y45+Y32+Y52,0)</f>
        <v>0</v>
      </c>
      <c r="Z68" s="57" t="n">
        <f aca="false">IF(Z5=Inputs!$C$97,Z45+Z32+Z52,0)</f>
        <v>0</v>
      </c>
      <c r="AA68" s="57" t="n">
        <f aca="false">IF(AA5=Inputs!$C$97,AA45+AA32+AA52,0)</f>
        <v>0</v>
      </c>
      <c r="AB68" s="57" t="n">
        <f aca="false">IF(AB5=Inputs!$C$97,AB45+AB32+AB52,0)</f>
        <v>0</v>
      </c>
      <c r="AC68" s="57" t="n">
        <f aca="false">IF(AC5=Inputs!$C$97,AC45+AC32+AC52,0)</f>
        <v>0</v>
      </c>
      <c r="AD68" s="57" t="n">
        <f aca="false">IF(AD5=Inputs!$C$97,AD45+AD32+AD52,0)</f>
        <v>0</v>
      </c>
      <c r="AE68" s="57" t="n">
        <f aca="false">IF(AE5=Inputs!$C$97,AE45+AE32+AE52,0)</f>
        <v>0</v>
      </c>
      <c r="AF68" s="57" t="n">
        <f aca="false">IF(AF5=Inputs!$C$97,AF45+AF32+AF52,0)</f>
        <v>0</v>
      </c>
      <c r="AG68" s="57" t="n">
        <f aca="false">IF(AG5=Inputs!$C$97,AG45+AG32+AG52,0)</f>
        <v>0</v>
      </c>
      <c r="AH68" s="57" t="n">
        <f aca="false">IF(AH5=Inputs!$C$97,AH45+AH32+AH52,0)</f>
        <v>0</v>
      </c>
    </row>
    <row r="69" customFormat="false" ht="15" hidden="false" customHeight="true" outlineLevel="0" collapsed="false">
      <c r="B69" s="4" t="s">
        <v>839</v>
      </c>
      <c r="E69" s="57" t="n">
        <f aca="false">E45+E32+E52-E68</f>
        <v>0</v>
      </c>
      <c r="F69" s="57" t="n">
        <f aca="false">F45+F32+F52-F68</f>
        <v>0</v>
      </c>
      <c r="G69" s="57" t="n">
        <f aca="false">G45+G32+G52-G68</f>
        <v>0</v>
      </c>
      <c r="H69" s="57" t="n">
        <f aca="false">H45+H32+H52-H68</f>
        <v>0</v>
      </c>
      <c r="I69" s="57" t="n">
        <f aca="false">I45+I32+I52-I68</f>
        <v>0</v>
      </c>
      <c r="J69" s="57" t="n">
        <f aca="false">J45+J32+J52-J68</f>
        <v>0</v>
      </c>
      <c r="K69" s="57" t="n">
        <f aca="false">K45+K32+K52-K68</f>
        <v>0</v>
      </c>
      <c r="L69" s="57" t="n">
        <f aca="false">L45+L32+L52-L68</f>
        <v>0</v>
      </c>
      <c r="M69" s="57" t="n">
        <f aca="false">M45+M32+M52-M68</f>
        <v>0</v>
      </c>
      <c r="N69" s="57" t="n">
        <f aca="false">N45+N32+N52-N68</f>
        <v>0</v>
      </c>
      <c r="O69" s="57" t="n">
        <f aca="false">O45+O32+O52-O68</f>
        <v>0</v>
      </c>
      <c r="P69" s="57" t="n">
        <f aca="false">P45+P32+P52-P68</f>
        <v>0</v>
      </c>
      <c r="Q69" s="57" t="n">
        <f aca="false">Q45+Q32+Q52-Q68</f>
        <v>0</v>
      </c>
      <c r="R69" s="57" t="n">
        <f aca="false">R45+R32+R52-R68</f>
        <v>0</v>
      </c>
      <c r="S69" s="57" t="n">
        <f aca="false">S45+S32+S52-S68</f>
        <v>0</v>
      </c>
      <c r="T69" s="57" t="n">
        <f aca="false">T45+T32+T52-T68</f>
        <v>0</v>
      </c>
      <c r="U69" s="57" t="n">
        <f aca="false">U45+U32+U52-U68</f>
        <v>0</v>
      </c>
      <c r="V69" s="57" t="n">
        <f aca="false">V45+V32+V52-V68</f>
        <v>0</v>
      </c>
      <c r="W69" s="57" t="n">
        <f aca="false">W45+W32+W52-W68</f>
        <v>0</v>
      </c>
      <c r="X69" s="57" t="n">
        <f aca="false">X45+X32+X52-X68</f>
        <v>0</v>
      </c>
      <c r="Y69" s="57" t="n">
        <f aca="false">Y45+Y32+Y52-Y68</f>
        <v>0</v>
      </c>
      <c r="Z69" s="57" t="n">
        <f aca="false">Z45+Z32+Z52-Z68</f>
        <v>0</v>
      </c>
      <c r="AA69" s="57" t="n">
        <f aca="false">AA45+AA32+AA52-AA68</f>
        <v>0</v>
      </c>
      <c r="AB69" s="57" t="n">
        <f aca="false">AB45+AB32+AB52-AB68</f>
        <v>0</v>
      </c>
      <c r="AC69" s="57" t="n">
        <f aca="false">AC45+AC32+AC52-AC68</f>
        <v>0</v>
      </c>
      <c r="AD69" s="57" t="n">
        <f aca="false">AD45+AD32+AD52-AD68</f>
        <v>0</v>
      </c>
      <c r="AE69" s="57" t="n">
        <f aca="false">AE45+AE32+AE52-AE68</f>
        <v>0</v>
      </c>
      <c r="AF69" s="57" t="n">
        <f aca="false">AF45+AF32+AF52-AF68</f>
        <v>0</v>
      </c>
      <c r="AG69" s="57" t="n">
        <f aca="false">AG45+AG32+AG52-AG68</f>
        <v>0</v>
      </c>
      <c r="AH69" s="57" t="n">
        <f aca="false">AH45+AH32+AH52-AH68</f>
        <v>0</v>
      </c>
    </row>
    <row r="70" customFormat="false" ht="15" hidden="false" customHeight="true" outlineLevel="0" collapsed="false">
      <c r="B70" s="4" t="s">
        <v>840</v>
      </c>
      <c r="E70" s="57" t="n">
        <f aca="false">E64</f>
        <v>0</v>
      </c>
      <c r="F70" s="57" t="n">
        <f aca="false">F64</f>
        <v>0</v>
      </c>
      <c r="G70" s="57" t="n">
        <f aca="false">G64</f>
        <v>0</v>
      </c>
      <c r="H70" s="57" t="n">
        <f aca="false">H64</f>
        <v>0</v>
      </c>
      <c r="I70" s="57" t="n">
        <f aca="false">I64</f>
        <v>0</v>
      </c>
      <c r="J70" s="57" t="n">
        <f aca="false">J64</f>
        <v>0</v>
      </c>
      <c r="K70" s="57" t="n">
        <f aca="false">K64</f>
        <v>0</v>
      </c>
      <c r="L70" s="57" t="n">
        <f aca="false">L64</f>
        <v>0</v>
      </c>
      <c r="M70" s="57" t="n">
        <f aca="false">M64</f>
        <v>0</v>
      </c>
      <c r="N70" s="57" t="n">
        <f aca="false">N64</f>
        <v>0</v>
      </c>
      <c r="O70" s="57" t="n">
        <f aca="false">O64</f>
        <v>0</v>
      </c>
      <c r="P70" s="57" t="n">
        <f aca="false">P64</f>
        <v>0</v>
      </c>
      <c r="Q70" s="57" t="n">
        <f aca="false">Q64</f>
        <v>15.0356759187827</v>
      </c>
      <c r="R70" s="57" t="n">
        <f aca="false">R64</f>
        <v>44.1240513611463</v>
      </c>
      <c r="S70" s="57" t="n">
        <f aca="false">S64</f>
        <v>22.2274243360747</v>
      </c>
      <c r="T70" s="57" t="n">
        <f aca="false">T64</f>
        <v>17.2899659485179</v>
      </c>
      <c r="U70" s="57" t="n">
        <f aca="false">U64</f>
        <v>13.9314557683049</v>
      </c>
      <c r="V70" s="57" t="n">
        <f aca="false">V64</f>
        <v>9.42643504987447</v>
      </c>
      <c r="W70" s="57" t="n">
        <f aca="false">W64</f>
        <v>2.14237160224417</v>
      </c>
      <c r="X70" s="57" t="n">
        <f aca="false">X64</f>
        <v>0</v>
      </c>
      <c r="Y70" s="57" t="n">
        <f aca="false">Y64</f>
        <v>0</v>
      </c>
      <c r="Z70" s="57" t="n">
        <f aca="false">Z64</f>
        <v>0</v>
      </c>
      <c r="AA70" s="57" t="n">
        <f aca="false">AA64</f>
        <v>0</v>
      </c>
      <c r="AB70" s="57" t="n">
        <f aca="false">AB64</f>
        <v>0</v>
      </c>
      <c r="AC70" s="57" t="n">
        <f aca="false">AC64</f>
        <v>0</v>
      </c>
      <c r="AD70" s="57" t="n">
        <f aca="false">AD64</f>
        <v>0</v>
      </c>
      <c r="AE70" s="57" t="n">
        <f aca="false">AE64</f>
        <v>0</v>
      </c>
      <c r="AF70" s="57" t="n">
        <f aca="false">AF64</f>
        <v>0</v>
      </c>
      <c r="AG70" s="57" t="n">
        <f aca="false">AG64</f>
        <v>0</v>
      </c>
      <c r="AH70" s="57" t="n">
        <f aca="false">AH64</f>
        <v>0</v>
      </c>
    </row>
    <row r="71" customFormat="false" ht="15" hidden="false" customHeight="true" outlineLevel="0" collapsed="false">
      <c r="B71" s="4" t="s">
        <v>841</v>
      </c>
      <c r="E71" s="57" t="s">
        <v>808</v>
      </c>
      <c r="F71" s="57" t="n">
        <f aca="false">E73</f>
        <v>5.59125</v>
      </c>
      <c r="G71" s="57" t="n">
        <f aca="false">F73</f>
        <v>10</v>
      </c>
      <c r="H71" s="57" t="n">
        <f aca="false">G73</f>
        <v>23.5189989128773</v>
      </c>
      <c r="I71" s="57" t="n">
        <f aca="false">H73</f>
        <v>23.5189989128773</v>
      </c>
      <c r="J71" s="57" t="n">
        <f aca="false">I73</f>
        <v>23.5189989128773</v>
      </c>
      <c r="K71" s="57" t="n">
        <f aca="false">J73</f>
        <v>23.5189989128773</v>
      </c>
      <c r="L71" s="57" t="n">
        <f aca="false">K73</f>
        <v>23.5189989128773</v>
      </c>
      <c r="M71" s="57" t="n">
        <f aca="false">L73</f>
        <v>23.5189989128773</v>
      </c>
      <c r="N71" s="57" t="n">
        <f aca="false">M73</f>
        <v>23.5189989128773</v>
      </c>
      <c r="O71" s="57" t="n">
        <f aca="false">N73</f>
        <v>23.5189989128773</v>
      </c>
      <c r="P71" s="57" t="n">
        <f aca="false">O73</f>
        <v>23.5189989128773</v>
      </c>
      <c r="Q71" s="57" t="n">
        <f aca="false">P73</f>
        <v>23.5189989128773</v>
      </c>
      <c r="R71" s="57" t="n">
        <f aca="false">Q73</f>
        <v>109.141704066162</v>
      </c>
      <c r="S71" s="57" t="n">
        <f aca="false">R73</f>
        <v>65.0176527050161</v>
      </c>
      <c r="T71" s="57" t="n">
        <f aca="false">S73</f>
        <v>42.7902283689414</v>
      </c>
      <c r="U71" s="57" t="n">
        <f aca="false">T73</f>
        <v>25.5002624204236</v>
      </c>
      <c r="V71" s="57" t="n">
        <f aca="false">U73</f>
        <v>11.5688066521187</v>
      </c>
      <c r="W71" s="57" t="n">
        <f aca="false">V73</f>
        <v>2.14237160224423</v>
      </c>
      <c r="X71" s="57" t="n">
        <f aca="false">W73</f>
        <v>5.86197757002083E-014</v>
      </c>
      <c r="Y71" s="57" t="n">
        <f aca="false">X73</f>
        <v>5.86197757002083E-014</v>
      </c>
      <c r="Z71" s="57" t="n">
        <f aca="false">Y73</f>
        <v>5.86197757002083E-014</v>
      </c>
      <c r="AA71" s="57" t="n">
        <f aca="false">Z73</f>
        <v>5.86197757002083E-014</v>
      </c>
      <c r="AB71" s="57" t="n">
        <f aca="false">AA73</f>
        <v>5.86197757002083E-014</v>
      </c>
      <c r="AC71" s="57" t="n">
        <f aca="false">AB73</f>
        <v>5.86197757002083E-014</v>
      </c>
      <c r="AD71" s="57" t="n">
        <f aca="false">AC73</f>
        <v>5.86197757002083E-014</v>
      </c>
      <c r="AE71" s="57" t="n">
        <f aca="false">AD73</f>
        <v>5.86197757002083E-014</v>
      </c>
      <c r="AF71" s="57" t="n">
        <f aca="false">AE73</f>
        <v>5.86197757002083E-014</v>
      </c>
      <c r="AG71" s="57" t="n">
        <f aca="false">AF73</f>
        <v>5.86197757002083E-014</v>
      </c>
      <c r="AH71" s="57" t="n">
        <f aca="false">AG73</f>
        <v>5.86197757002083E-014</v>
      </c>
    </row>
    <row r="72" customFormat="false" ht="15" hidden="false" customHeight="true" outlineLevel="0" collapsed="false">
      <c r="B72" s="4" t="s">
        <v>842</v>
      </c>
      <c r="D72" s="59" t="n">
        <f aca="false">SUM(E72:AH72)</f>
        <v>124.177379984945</v>
      </c>
      <c r="E72" s="57" t="n">
        <f aca="false">IF(E5&gt;=Inputs!$C$87,MIN(MAX(E70,0),E71+E40+E29+E66+E68),0)</f>
        <v>0</v>
      </c>
      <c r="F72" s="57" t="n">
        <f aca="false">IF(F5&gt;=Inputs!$C$87,MIN(MAX(F70,0),F71+F40+F29+F66+F68),0)</f>
        <v>0</v>
      </c>
      <c r="G72" s="57" t="n">
        <f aca="false">IF(G5&gt;=Inputs!$C$87,MIN(MAX(G70,0),G71+G40+G29+G66+G68),0)</f>
        <v>0</v>
      </c>
      <c r="H72" s="57" t="n">
        <f aca="false">IF(H5&gt;=Inputs!$C$87,MIN(MAX(H70,0),H71+H40+H29+H66+H68),0)</f>
        <v>0</v>
      </c>
      <c r="I72" s="57" t="n">
        <f aca="false">IF(I5&gt;=Inputs!$C$87,MIN(MAX(I70,0),I71+I40+I29+I66+I68),0)</f>
        <v>0</v>
      </c>
      <c r="J72" s="57" t="n">
        <f aca="false">IF(J5&gt;=Inputs!$C$87,MIN(MAX(J70,0),J71+J40+J29+J66+J68),0)</f>
        <v>0</v>
      </c>
      <c r="K72" s="57" t="n">
        <f aca="false">IF(K5&gt;=Inputs!$C$87,MIN(MAX(K70,0),K71+K40+K29+K66+K68),0)</f>
        <v>0</v>
      </c>
      <c r="L72" s="57" t="n">
        <f aca="false">IF(L5&gt;=Inputs!$C$87,MIN(MAX(L70,0),L71+L40+L29+L66+L68),0)</f>
        <v>0</v>
      </c>
      <c r="M72" s="57" t="n">
        <f aca="false">IF(M5&gt;=Inputs!$C$87,MIN(MAX(M70,0),M71+M40+M29+M66+M68),0)</f>
        <v>0</v>
      </c>
      <c r="N72" s="57" t="n">
        <f aca="false">IF(N5&gt;=Inputs!$C$87,MIN(MAX(N70,0),N71+N40+N29+N66+N68),0)</f>
        <v>0</v>
      </c>
      <c r="O72" s="57" t="n">
        <f aca="false">IF(O5&gt;=Inputs!$C$87,MIN(MAX(O70,0),O71+O40+O29+O66+O68),0)</f>
        <v>0</v>
      </c>
      <c r="P72" s="57" t="n">
        <f aca="false">IF(P5&gt;=Inputs!$C$87,MIN(MAX(P70,0),P71+P40+P29+P66+P68),0)</f>
        <v>0</v>
      </c>
      <c r="Q72" s="57" t="n">
        <f aca="false">IF(Q5&gt;=Inputs!$C$87,MIN(MAX(Q70,0),Q71+Q40+Q29+Q66+Q68),0)</f>
        <v>15.0356759187827</v>
      </c>
      <c r="R72" s="57" t="n">
        <f aca="false">IF(R5&gt;=Inputs!$C$87,MIN(MAX(R70,0),R71+R40+R29+R66+R68),0)</f>
        <v>44.1240513611463</v>
      </c>
      <c r="S72" s="57" t="n">
        <f aca="false">IF(S5&gt;=Inputs!$C$87,MIN(MAX(S70,0),S71+S40+S29+S66+S68),0)</f>
        <v>22.2274243360747</v>
      </c>
      <c r="T72" s="57" t="n">
        <f aca="false">IF(T5&gt;=Inputs!$C$87,MIN(MAX(T70,0),T71+T40+T29+T66+T68),0)</f>
        <v>17.2899659485179</v>
      </c>
      <c r="U72" s="57" t="n">
        <f aca="false">IF(U5&gt;=Inputs!$C$87,MIN(MAX(U70,0),U71+U40+U29+U66+U68),0)</f>
        <v>13.9314557683049</v>
      </c>
      <c r="V72" s="57" t="n">
        <f aca="false">IF(V5&gt;=Inputs!$C$87,MIN(MAX(V70,0),V71+V40+V29+V66+V68),0)</f>
        <v>9.42643504987447</v>
      </c>
      <c r="W72" s="57" t="n">
        <f aca="false">IF(W5&gt;=Inputs!$C$87,MIN(MAX(W70,0),W71+W40+W29+W66+W68),0)</f>
        <v>2.14237160224417</v>
      </c>
      <c r="X72" s="57" t="n">
        <f aca="false">IF(X5&gt;=Inputs!$C$87,MIN(MAX(X70,0),X71+X40+X29+X66+X68),0)</f>
        <v>0</v>
      </c>
      <c r="Y72" s="57" t="n">
        <f aca="false">IF(Y5&gt;=Inputs!$C$87,MIN(MAX(Y70,0),Y71+Y40+Y29+Y66+Y68),0)</f>
        <v>0</v>
      </c>
      <c r="Z72" s="57" t="n">
        <f aca="false">IF(Z5&gt;=Inputs!$C$87,MIN(MAX(Z70,0),Z71+Z40+Z29+Z66+Z68),0)</f>
        <v>0</v>
      </c>
      <c r="AA72" s="57" t="n">
        <f aca="false">IF(AA5&gt;=Inputs!$C$87,MIN(MAX(AA70,0),AA71+AA40+AA29+AA66+AA68),0)</f>
        <v>0</v>
      </c>
      <c r="AB72" s="57" t="n">
        <f aca="false">IF(AB5&gt;=Inputs!$C$87,MIN(MAX(AB70,0),AB71+AB40+AB29+AB66+AB68),0)</f>
        <v>0</v>
      </c>
      <c r="AC72" s="57" t="n">
        <f aca="false">IF(AC5&gt;=Inputs!$C$87,MIN(MAX(AC70,0),AC71+AC40+AC29+AC66+AC68),0)</f>
        <v>0</v>
      </c>
      <c r="AD72" s="57" t="n">
        <f aca="false">IF(AD5&gt;=Inputs!$C$87,MIN(MAX(AD70,0),AD71+AD40+AD29+AD66+AD68),0)</f>
        <v>0</v>
      </c>
      <c r="AE72" s="57" t="n">
        <f aca="false">IF(AE5&gt;=Inputs!$C$87,MIN(MAX(AE70,0),AE71+AE40+AE29+AE66+AE68),0)</f>
        <v>0</v>
      </c>
      <c r="AF72" s="57" t="n">
        <f aca="false">IF(AF5&gt;=Inputs!$C$87,MIN(MAX(AF70,0),AF71+AF40+AF29+AF66+AF68),0)</f>
        <v>0</v>
      </c>
      <c r="AG72" s="57" t="n">
        <f aca="false">IF(AG5&gt;=Inputs!$C$87,MIN(MAX(AG70,0),AG71+AG40+AG29+AG66+AG68),0)</f>
        <v>0</v>
      </c>
      <c r="AH72" s="57" t="n">
        <f aca="false">IF(AH5&gt;=Inputs!$C$87,MIN(MAX(AH70,0),AH71+AH40+AH29+AH66+AH68),0)</f>
        <v>0</v>
      </c>
    </row>
    <row r="73" customFormat="false" ht="15" hidden="false" customHeight="true" outlineLevel="0" collapsed="false">
      <c r="B73" s="4" t="s">
        <v>843</v>
      </c>
      <c r="E73" s="57" t="n">
        <f aca="false">E71+E40+E29+E66+E68-E72-E74</f>
        <v>5.59125</v>
      </c>
      <c r="F73" s="57" t="n">
        <f aca="false">F71+F40+F29+F66+F68-F72-F74</f>
        <v>10</v>
      </c>
      <c r="G73" s="57" t="n">
        <f aca="false">G71+G40+G29+G66+G68-G72-G74</f>
        <v>23.5189989128773</v>
      </c>
      <c r="H73" s="57" t="n">
        <f aca="false">H71+H40+H29+H66+H68-H72-H74</f>
        <v>23.5189989128773</v>
      </c>
      <c r="I73" s="57" t="n">
        <f aca="false">I71+I40+I29+I66+I68-I72-I74</f>
        <v>23.5189989128773</v>
      </c>
      <c r="J73" s="57" t="n">
        <f aca="false">J71+J40+J29+J66+J68-J72-J74</f>
        <v>23.5189989128773</v>
      </c>
      <c r="K73" s="57" t="n">
        <f aca="false">K71+K40+K29+K66+K68-K72-K74</f>
        <v>23.5189989128773</v>
      </c>
      <c r="L73" s="57" t="n">
        <f aca="false">L71+L40+L29+L66+L68-L72-L74</f>
        <v>23.5189989128773</v>
      </c>
      <c r="M73" s="57" t="n">
        <f aca="false">M71+M40+M29+M66+M68-M72-M74</f>
        <v>23.5189989128773</v>
      </c>
      <c r="N73" s="57" t="n">
        <f aca="false">N71+N40+N29+N66+N68-N72-N74</f>
        <v>23.5189989128773</v>
      </c>
      <c r="O73" s="57" t="n">
        <f aca="false">O71+O40+O29+O66+O68-O72-O74</f>
        <v>23.5189989128773</v>
      </c>
      <c r="P73" s="57" t="n">
        <f aca="false">P71+P40+P29+P66+P68-P72-P74</f>
        <v>23.5189989128773</v>
      </c>
      <c r="Q73" s="57" t="n">
        <f aca="false">Q71+Q40+Q29+Q66+Q68-Q72-Q74</f>
        <v>109.141704066162</v>
      </c>
      <c r="R73" s="57" t="n">
        <f aca="false">R71+R40+R29+R66+R68-R72-R74</f>
        <v>65.0176527050161</v>
      </c>
      <c r="S73" s="57" t="n">
        <f aca="false">S71+S40+S29+S66+S68-S72-S74</f>
        <v>42.7902283689414</v>
      </c>
      <c r="T73" s="57" t="n">
        <f aca="false">T71+T40+T29+T66+T68-T72-T74</f>
        <v>25.5002624204236</v>
      </c>
      <c r="U73" s="57" t="n">
        <f aca="false">U71+U40+U29+U66+U68-U72-U74</f>
        <v>11.5688066521187</v>
      </c>
      <c r="V73" s="57" t="n">
        <f aca="false">V71+V40+V29+V66+V68-V72-V74</f>
        <v>2.14237160224423</v>
      </c>
      <c r="W73" s="57" t="n">
        <f aca="false">W71+W40+W29+W66+W68-W72-W74</f>
        <v>5.86197757002083E-014</v>
      </c>
      <c r="X73" s="57" t="n">
        <f aca="false">X71+X40+X29+X66+X68-X72-X74</f>
        <v>5.86197757002083E-014</v>
      </c>
      <c r="Y73" s="57" t="n">
        <f aca="false">Y71+Y40+Y29+Y66+Y68-Y72-Y74</f>
        <v>5.86197757002083E-014</v>
      </c>
      <c r="Z73" s="57" t="n">
        <f aca="false">Z71+Z40+Z29+Z66+Z68-Z72-Z74</f>
        <v>5.86197757002083E-014</v>
      </c>
      <c r="AA73" s="57" t="n">
        <f aca="false">AA71+AA40+AA29+AA66+AA68-AA72-AA74</f>
        <v>5.86197757002083E-014</v>
      </c>
      <c r="AB73" s="57" t="n">
        <f aca="false">AB71+AB40+AB29+AB66+AB68-AB72-AB74</f>
        <v>5.86197757002083E-014</v>
      </c>
      <c r="AC73" s="57" t="n">
        <f aca="false">AC71+AC40+AC29+AC66+AC68-AC72-AC74</f>
        <v>5.86197757002083E-014</v>
      </c>
      <c r="AD73" s="57" t="n">
        <f aca="false">AD71+AD40+AD29+AD66+AD68-AD72-AD74</f>
        <v>5.86197757002083E-014</v>
      </c>
      <c r="AE73" s="57" t="n">
        <f aca="false">AE71+AE40+AE29+AE66+AE68-AE72-AE74</f>
        <v>5.86197757002083E-014</v>
      </c>
      <c r="AF73" s="57" t="n">
        <f aca="false">AF71+AF40+AF29+AF66+AF68-AF72-AF74</f>
        <v>5.86197757002083E-014</v>
      </c>
      <c r="AG73" s="57" t="n">
        <f aca="false">AG71+AG40+AG29+AG66+AG68-AG72-AG74</f>
        <v>5.86197757002083E-014</v>
      </c>
      <c r="AH73" s="57" t="n">
        <f aca="false">AH71+AH40+AH29+AH66+AH68-AH72-AH74</f>
        <v>5.86197757002083E-014</v>
      </c>
    </row>
    <row r="74" customFormat="false" ht="15" hidden="false" customHeight="true" outlineLevel="0" collapsed="false">
      <c r="B74" s="4" t="s">
        <v>844</v>
      </c>
      <c r="D74" s="59" t="n">
        <f aca="false">SUM(E74:AH74)</f>
        <v>0</v>
      </c>
      <c r="E74" s="57" t="n">
        <f aca="false">IF(E6=1,E70-E72,0)</f>
        <v>0</v>
      </c>
      <c r="F74" s="57" t="n">
        <f aca="false">IF(F6=1,F70-F72,0)</f>
        <v>0</v>
      </c>
      <c r="G74" s="57" t="n">
        <f aca="false">IF(G6=1,G70-G72,0)</f>
        <v>0</v>
      </c>
      <c r="H74" s="57" t="n">
        <f aca="false">IF(H6=1,H70-H72,0)</f>
        <v>0</v>
      </c>
      <c r="I74" s="57" t="n">
        <f aca="false">IF(I6=1,I70-I72,0)</f>
        <v>0</v>
      </c>
      <c r="J74" s="57" t="n">
        <f aca="false">IF(J6=1,J70-J72,0)</f>
        <v>0</v>
      </c>
      <c r="K74" s="57" t="n">
        <f aca="false">IF(K6=1,K70-K72,0)</f>
        <v>0</v>
      </c>
      <c r="L74" s="57" t="n">
        <f aca="false">IF(L6=1,L70-L72,0)</f>
        <v>0</v>
      </c>
      <c r="M74" s="57" t="n">
        <f aca="false">IF(M6=1,M70-M72,0)</f>
        <v>0</v>
      </c>
      <c r="N74" s="57" t="n">
        <f aca="false">IF(N6=1,N70-N72,0)</f>
        <v>0</v>
      </c>
      <c r="O74" s="57" t="n">
        <f aca="false">IF(O6=1,O70-O72,0)</f>
        <v>0</v>
      </c>
      <c r="P74" s="57" t="n">
        <f aca="false">IF(P6=1,P70-P72,0)</f>
        <v>0</v>
      </c>
      <c r="Q74" s="57" t="n">
        <f aca="false">IF(Q6=1,Q70-Q72,0)</f>
        <v>0</v>
      </c>
      <c r="R74" s="57" t="n">
        <f aca="false">IF(R6=1,R70-R72,0)</f>
        <v>0</v>
      </c>
      <c r="S74" s="57" t="n">
        <f aca="false">IF(S6=1,S70-S72,0)</f>
        <v>0</v>
      </c>
      <c r="T74" s="57" t="n">
        <f aca="false">IF(T6=1,T70-T72,0)</f>
        <v>0</v>
      </c>
      <c r="U74" s="57" t="n">
        <f aca="false">IF(U6=1,U70-U72,0)</f>
        <v>0</v>
      </c>
      <c r="V74" s="57" t="n">
        <f aca="false">IF(V6=1,V70-V72,0)</f>
        <v>0</v>
      </c>
      <c r="W74" s="57" t="n">
        <f aca="false">IF(W6=1,W70-W72,0)</f>
        <v>0</v>
      </c>
      <c r="X74" s="57" t="n">
        <f aca="false">IF(X6=1,X70-X72,0)</f>
        <v>0</v>
      </c>
      <c r="Y74" s="57" t="n">
        <f aca="false">IF(Y6=1,Y70-Y72,0)</f>
        <v>0</v>
      </c>
      <c r="Z74" s="57" t="n">
        <f aca="false">IF(Z6=1,Z70-Z72,0)</f>
        <v>0</v>
      </c>
      <c r="AA74" s="57" t="n">
        <f aca="false">IF(AA6=1,AA70-AA72,0)</f>
        <v>0</v>
      </c>
      <c r="AB74" s="57" t="n">
        <f aca="false">IF(AB6=1,AB70-AB72,0)</f>
        <v>0</v>
      </c>
      <c r="AC74" s="57" t="n">
        <f aca="false">IF(AC6=1,AC70-AC72,0)</f>
        <v>0</v>
      </c>
      <c r="AD74" s="57" t="n">
        <f aca="false">IF(AD6=1,AD70-AD72,0)</f>
        <v>0</v>
      </c>
      <c r="AE74" s="57" t="n">
        <f aca="false">IF(AE6=1,AE70-AE72,0)</f>
        <v>0</v>
      </c>
      <c r="AF74" s="57" t="n">
        <f aca="false">IF(AF6=1,AF70-AF72,0)</f>
        <v>0</v>
      </c>
      <c r="AG74" s="57" t="n">
        <f aca="false">IF(AG6=1,AG70-AG72,0)</f>
        <v>0</v>
      </c>
      <c r="AH74" s="57" t="n">
        <f aca="false">IF(AH6=1,AH70-AH72,0)</f>
        <v>0</v>
      </c>
    </row>
    <row r="75" customFormat="false" ht="15" hidden="false" customHeight="true" outlineLevel="0" collapsed="false">
      <c r="B75" s="4" t="s">
        <v>845</v>
      </c>
      <c r="C75" s="3" t="s">
        <v>813</v>
      </c>
      <c r="D75" s="12" t="n">
        <f aca="false">MAX(E75:AH75)</f>
        <v>0</v>
      </c>
      <c r="E75" s="57" t="n">
        <f aca="false">E70-E72-E74</f>
        <v>0</v>
      </c>
      <c r="F75" s="57" t="n">
        <f aca="false">F70-F72-F74</f>
        <v>0</v>
      </c>
      <c r="G75" s="57" t="n">
        <f aca="false">G70-G72-G74</f>
        <v>0</v>
      </c>
      <c r="H75" s="57" t="n">
        <f aca="false">H70-H72-H74</f>
        <v>0</v>
      </c>
      <c r="I75" s="57" t="n">
        <f aca="false">I70-I72-I74</f>
        <v>0</v>
      </c>
      <c r="J75" s="57" t="n">
        <f aca="false">J70-J72-J74</f>
        <v>0</v>
      </c>
      <c r="K75" s="57" t="n">
        <f aca="false">K70-K72-K74</f>
        <v>0</v>
      </c>
      <c r="L75" s="57" t="n">
        <f aca="false">L70-L72-L74</f>
        <v>0</v>
      </c>
      <c r="M75" s="57" t="n">
        <f aca="false">M70-M72-M74</f>
        <v>0</v>
      </c>
      <c r="N75" s="57" t="n">
        <f aca="false">N70-N72-N74</f>
        <v>0</v>
      </c>
      <c r="O75" s="57" t="n">
        <f aca="false">O70-O72-O74</f>
        <v>0</v>
      </c>
      <c r="P75" s="57" t="n">
        <f aca="false">P70-P72-P74</f>
        <v>0</v>
      </c>
      <c r="Q75" s="57" t="n">
        <f aca="false">Q70-Q72-Q74</f>
        <v>0</v>
      </c>
      <c r="R75" s="57" t="n">
        <f aca="false">R70-R72-R74</f>
        <v>0</v>
      </c>
      <c r="S75" s="57" t="n">
        <f aca="false">S70-S72-S74</f>
        <v>0</v>
      </c>
      <c r="T75" s="57" t="n">
        <f aca="false">T70-T72-T74</f>
        <v>0</v>
      </c>
      <c r="U75" s="57" t="n">
        <f aca="false">U70-U72-U74</f>
        <v>0</v>
      </c>
      <c r="V75" s="57" t="n">
        <f aca="false">V70-V72-V74</f>
        <v>0</v>
      </c>
      <c r="W75" s="57" t="n">
        <f aca="false">W70-W72-W74</f>
        <v>0</v>
      </c>
      <c r="X75" s="57" t="n">
        <f aca="false">X70-X72-X74</f>
        <v>0</v>
      </c>
      <c r="Y75" s="57" t="n">
        <f aca="false">Y70-Y72-Y74</f>
        <v>0</v>
      </c>
      <c r="Z75" s="57" t="n">
        <f aca="false">Z70-Z72-Z74</f>
        <v>0</v>
      </c>
      <c r="AA75" s="57" t="n">
        <f aca="false">AA70-AA72-AA74</f>
        <v>0</v>
      </c>
      <c r="AB75" s="57" t="n">
        <f aca="false">AB70-AB72-AB74</f>
        <v>0</v>
      </c>
      <c r="AC75" s="57" t="n">
        <f aca="false">AC70-AC72-AC74</f>
        <v>0</v>
      </c>
      <c r="AD75" s="57" t="n">
        <f aca="false">AD70-AD72-AD74</f>
        <v>0</v>
      </c>
      <c r="AE75" s="57" t="n">
        <f aca="false">AE70-AE72-AE74</f>
        <v>0</v>
      </c>
      <c r="AF75" s="57" t="n">
        <f aca="false">AF70-AF72-AF74</f>
        <v>0</v>
      </c>
      <c r="AG75" s="57" t="n">
        <f aca="false">AG70-AG72-AG74</f>
        <v>0</v>
      </c>
      <c r="AH75" s="57" t="n">
        <f aca="false">AH70-AH72-AH74</f>
        <v>0</v>
      </c>
    </row>
    <row r="76" customFormat="false" ht="15" hidden="false" customHeight="true" outlineLevel="0" collapsed="false">
      <c r="B76" s="40" t="s">
        <v>846</v>
      </c>
      <c r="D76" s="59" t="n">
        <f aca="false">SUM(E76:AH76)</f>
        <v>409.509647038657</v>
      </c>
      <c r="E76" s="57" t="n">
        <f aca="false">E62+E72+E74</f>
        <v>0</v>
      </c>
      <c r="F76" s="57" t="n">
        <f aca="false">F62+F72+F74</f>
        <v>0</v>
      </c>
      <c r="G76" s="57" t="n">
        <f aca="false">G62+G72+G74</f>
        <v>0</v>
      </c>
      <c r="H76" s="57" t="n">
        <f aca="false">H62+H72+H74</f>
        <v>0</v>
      </c>
      <c r="I76" s="57" t="n">
        <f aca="false">I62+I72+I74</f>
        <v>0</v>
      </c>
      <c r="J76" s="57" t="n">
        <f aca="false">J62+J72+J74</f>
        <v>0</v>
      </c>
      <c r="K76" s="57" t="n">
        <f aca="false">K62+K72+K74</f>
        <v>0</v>
      </c>
      <c r="L76" s="57" t="n">
        <f aca="false">L62+L72+L74</f>
        <v>0</v>
      </c>
      <c r="M76" s="57" t="n">
        <f aca="false">M62+M72+M74</f>
        <v>0</v>
      </c>
      <c r="N76" s="57" t="n">
        <f aca="false">N62+N72+N74</f>
        <v>0</v>
      </c>
      <c r="O76" s="57" t="n">
        <f aca="false">O62+O72+O74</f>
        <v>0</v>
      </c>
      <c r="P76" s="57" t="n">
        <f aca="false">P62+P72+P74</f>
        <v>0</v>
      </c>
      <c r="Q76" s="57" t="n">
        <f aca="false">Q62+Q72+Q74</f>
        <v>15.0356759187827</v>
      </c>
      <c r="R76" s="57" t="n">
        <f aca="false">R62+R72+R74</f>
        <v>44.1240513611463</v>
      </c>
      <c r="S76" s="57" t="n">
        <f aca="false">S62+S72+S74</f>
        <v>22.2274243360747</v>
      </c>
      <c r="T76" s="57" t="n">
        <f aca="false">T62+T72+T74</f>
        <v>30.698479909005</v>
      </c>
      <c r="U76" s="57" t="n">
        <f aca="false">U62+U72+U74</f>
        <v>27.5863106869037</v>
      </c>
      <c r="V76" s="57" t="n">
        <f aca="false">V62+V72+V74</f>
        <v>27.0789638526528</v>
      </c>
      <c r="W76" s="57" t="n">
        <f aca="false">W62+W72+W74</f>
        <v>26.7237578314602</v>
      </c>
      <c r="X76" s="57" t="n">
        <f aca="false">X62+X72+X74</f>
        <v>26.4600394897851</v>
      </c>
      <c r="Y76" s="57" t="n">
        <f aca="false">Y62+Y72+Y74</f>
        <v>26.2514161347365</v>
      </c>
      <c r="Z76" s="57" t="n">
        <f aca="false">Z62+Z72+Z74</f>
        <v>26.0760513410638</v>
      </c>
      <c r="AA76" s="57" t="n">
        <f aca="false">AA62+AA72+AA74</f>
        <v>25.9208424473393</v>
      </c>
      <c r="AB76" s="57" t="n">
        <f aca="false">AB62+AB72+AB74</f>
        <v>25.7779270536538</v>
      </c>
      <c r="AC76" s="57" t="n">
        <f aca="false">AC62+AC72+AC74</f>
        <v>25.6425869202215</v>
      </c>
      <c r="AD76" s="57" t="n">
        <f aca="false">AD62+AD72+AD74</f>
        <v>25.51199030653</v>
      </c>
      <c r="AE76" s="57" t="n">
        <f aca="false">AE62+AE72+AE74</f>
        <v>21.8432653059082</v>
      </c>
      <c r="AF76" s="57" t="n">
        <f aca="false">AF62+AF72+AF74</f>
        <v>12.550864143394</v>
      </c>
      <c r="AG76" s="57" t="n">
        <f aca="false">AG62+AG72+AG74</f>
        <v>0</v>
      </c>
      <c r="AH76" s="57" t="n">
        <f aca="false">AH62+AH72+AH74</f>
        <v>0</v>
      </c>
    </row>
    <row r="77" customFormat="false" ht="15" hidden="false" customHeight="true" outlineLevel="0" collapsed="false">
      <c r="B77" s="21" t="s">
        <v>847</v>
      </c>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row>
    <row r="78" customFormat="false" ht="15" hidden="false" customHeight="true" outlineLevel="0" collapsed="false">
      <c r="B78" s="4" t="s">
        <v>848</v>
      </c>
      <c r="D78" s="59" t="n">
        <f aca="false">SUM(E78:AH78)</f>
        <v>0</v>
      </c>
      <c r="E78" s="57" t="n">
        <f aca="false">E76*$D$124</f>
        <v>0</v>
      </c>
      <c r="F78" s="57" t="n">
        <f aca="false">F76*$D$124</f>
        <v>0</v>
      </c>
      <c r="G78" s="57" t="n">
        <f aca="false">G76*$D$124</f>
        <v>0</v>
      </c>
      <c r="H78" s="57" t="n">
        <f aca="false">H76*$D$124</f>
        <v>0</v>
      </c>
      <c r="I78" s="57" t="n">
        <f aca="false">I76*$D$124</f>
        <v>0</v>
      </c>
      <c r="J78" s="57" t="n">
        <f aca="false">J76*$D$124</f>
        <v>0</v>
      </c>
      <c r="K78" s="57" t="n">
        <f aca="false">K76*$D$124</f>
        <v>0</v>
      </c>
      <c r="L78" s="57" t="n">
        <f aca="false">L76*$D$124</f>
        <v>0</v>
      </c>
      <c r="M78" s="57" t="n">
        <f aca="false">M76*$D$124</f>
        <v>0</v>
      </c>
      <c r="N78" s="57" t="n">
        <f aca="false">N76*$D$124</f>
        <v>0</v>
      </c>
      <c r="O78" s="57" t="n">
        <f aca="false">O76*$D$124</f>
        <v>0</v>
      </c>
      <c r="P78" s="57" t="n">
        <f aca="false">P76*$D$124</f>
        <v>0</v>
      </c>
      <c r="Q78" s="57" t="n">
        <f aca="false">Q76*$D$124</f>
        <v>0</v>
      </c>
      <c r="R78" s="57" t="n">
        <f aca="false">R76*$D$124</f>
        <v>0</v>
      </c>
      <c r="S78" s="57" t="n">
        <f aca="false">S76*$D$124</f>
        <v>0</v>
      </c>
      <c r="T78" s="57" t="n">
        <f aca="false">T76*$D$124</f>
        <v>0</v>
      </c>
      <c r="U78" s="57" t="n">
        <f aca="false">U76*$D$124</f>
        <v>0</v>
      </c>
      <c r="V78" s="57" t="n">
        <f aca="false">V76*$D$124</f>
        <v>0</v>
      </c>
      <c r="W78" s="57" t="n">
        <f aca="false">W76*$D$124</f>
        <v>0</v>
      </c>
      <c r="X78" s="57" t="n">
        <f aca="false">X76*$D$124</f>
        <v>0</v>
      </c>
      <c r="Y78" s="57" t="n">
        <f aca="false">Y76*$D$124</f>
        <v>0</v>
      </c>
      <c r="Z78" s="57" t="n">
        <f aca="false">Z76*$D$124</f>
        <v>0</v>
      </c>
      <c r="AA78" s="57" t="n">
        <f aca="false">AA76*$D$124</f>
        <v>0</v>
      </c>
      <c r="AB78" s="57" t="n">
        <f aca="false">AB76*$D$124</f>
        <v>0</v>
      </c>
      <c r="AC78" s="57" t="n">
        <f aca="false">AC76*$D$124</f>
        <v>0</v>
      </c>
      <c r="AD78" s="57" t="n">
        <f aca="false">AD76*$D$124</f>
        <v>0</v>
      </c>
      <c r="AE78" s="57" t="n">
        <f aca="false">AE76*$D$124</f>
        <v>0</v>
      </c>
      <c r="AF78" s="57" t="n">
        <f aca="false">AF76*$D$124</f>
        <v>0</v>
      </c>
      <c r="AG78" s="57" t="n">
        <f aca="false">AG76*$D$124</f>
        <v>0</v>
      </c>
      <c r="AH78" s="57" t="n">
        <f aca="false">AH76*$D$124</f>
        <v>0</v>
      </c>
    </row>
    <row r="79" customFormat="false" ht="15" hidden="false" customHeight="true" outlineLevel="0" collapsed="false">
      <c r="B79" s="4" t="s">
        <v>849</v>
      </c>
      <c r="D79" s="59" t="n">
        <f aca="false">SUM(E79:AH79)</f>
        <v>90.1266594191822</v>
      </c>
      <c r="E79" s="57" t="n">
        <f aca="false">E40+E41</f>
        <v>0</v>
      </c>
      <c r="F79" s="57" t="n">
        <f aca="false">F40+F41</f>
        <v>0</v>
      </c>
      <c r="G79" s="57" t="n">
        <f aca="false">G40+G41</f>
        <v>90.1266594191822</v>
      </c>
      <c r="H79" s="57" t="n">
        <f aca="false">H40+H41</f>
        <v>0</v>
      </c>
      <c r="I79" s="57" t="n">
        <f aca="false">I40+I41</f>
        <v>0</v>
      </c>
      <c r="J79" s="57" t="n">
        <f aca="false">J40+J41</f>
        <v>0</v>
      </c>
      <c r="K79" s="57" t="n">
        <f aca="false">K40+K41</f>
        <v>0</v>
      </c>
      <c r="L79" s="57" t="n">
        <f aca="false">L40+L41</f>
        <v>0</v>
      </c>
      <c r="M79" s="57" t="n">
        <f aca="false">M40+M41</f>
        <v>0</v>
      </c>
      <c r="N79" s="57" t="n">
        <f aca="false">N40+N41</f>
        <v>0</v>
      </c>
      <c r="O79" s="57" t="n">
        <f aca="false">O40+O41</f>
        <v>0</v>
      </c>
      <c r="P79" s="57" t="n">
        <f aca="false">P40+P41</f>
        <v>0</v>
      </c>
      <c r="Q79" s="57" t="n">
        <f aca="false">Q40+Q41</f>
        <v>0</v>
      </c>
      <c r="R79" s="57" t="n">
        <f aca="false">R40+R41</f>
        <v>0</v>
      </c>
      <c r="S79" s="57" t="n">
        <f aca="false">S40+S41</f>
        <v>0</v>
      </c>
      <c r="T79" s="57" t="n">
        <f aca="false">T40+T41</f>
        <v>0</v>
      </c>
      <c r="U79" s="57" t="n">
        <f aca="false">U40+U41</f>
        <v>0</v>
      </c>
      <c r="V79" s="57" t="n">
        <f aca="false">V40+V41</f>
        <v>0</v>
      </c>
      <c r="W79" s="57" t="n">
        <f aca="false">W40+W41</f>
        <v>0</v>
      </c>
      <c r="X79" s="57" t="n">
        <f aca="false">X40+X41</f>
        <v>0</v>
      </c>
      <c r="Y79" s="57" t="n">
        <f aca="false">Y40+Y41</f>
        <v>0</v>
      </c>
      <c r="Z79" s="57" t="n">
        <f aca="false">Z40+Z41</f>
        <v>0</v>
      </c>
      <c r="AA79" s="57" t="n">
        <f aca="false">AA40+AA41</f>
        <v>0</v>
      </c>
      <c r="AB79" s="57" t="n">
        <f aca="false">AB40+AB41</f>
        <v>0</v>
      </c>
      <c r="AC79" s="57" t="n">
        <f aca="false">AC40+AC41</f>
        <v>0</v>
      </c>
      <c r="AD79" s="57" t="n">
        <f aca="false">AD40+AD41</f>
        <v>0</v>
      </c>
      <c r="AE79" s="57" t="n">
        <f aca="false">AE40+AE41</f>
        <v>0</v>
      </c>
      <c r="AF79" s="57" t="n">
        <f aca="false">AF40+AF41</f>
        <v>0</v>
      </c>
      <c r="AG79" s="57" t="n">
        <f aca="false">AG40+AG41</f>
        <v>0</v>
      </c>
      <c r="AH79" s="57" t="n">
        <f aca="false">AH40+AH41</f>
        <v>0</v>
      </c>
    </row>
    <row r="80" customFormat="false" ht="15" hidden="false" customHeight="true" outlineLevel="0" collapsed="false">
      <c r="B80" s="4" t="s">
        <v>850</v>
      </c>
      <c r="D80" s="59" t="n">
        <f aca="false">SUM(E80:AH80)</f>
        <v>96.6796284606314</v>
      </c>
      <c r="E80" s="57" t="n">
        <f aca="false">E49+E65</f>
        <v>0</v>
      </c>
      <c r="F80" s="57" t="n">
        <f aca="false">F49+F65</f>
        <v>0</v>
      </c>
      <c r="G80" s="57" t="n">
        <f aca="false">G49+G65</f>
        <v>0</v>
      </c>
      <c r="H80" s="57" t="n">
        <f aca="false">H49+H65</f>
        <v>7.67518374338512</v>
      </c>
      <c r="I80" s="57" t="n">
        <f aca="false">I49+I65</f>
        <v>9.61567987357477</v>
      </c>
      <c r="J80" s="57" t="n">
        <f aca="false">J49+J65</f>
        <v>9.61567987357477</v>
      </c>
      <c r="K80" s="57" t="n">
        <f aca="false">K49+K65</f>
        <v>9.61567987357477</v>
      </c>
      <c r="L80" s="57" t="n">
        <f aca="false">L49+L65</f>
        <v>9.61567987357477</v>
      </c>
      <c r="M80" s="57" t="n">
        <f aca="false">M49+M65</f>
        <v>9.61567987357477</v>
      </c>
      <c r="N80" s="57" t="n">
        <f aca="false">N49+N65</f>
        <v>9.61567987357477</v>
      </c>
      <c r="O80" s="57" t="n">
        <f aca="false">O49+O65</f>
        <v>9.61567987357477</v>
      </c>
      <c r="P80" s="57" t="n">
        <f aca="false">P49+P65</f>
        <v>9.61567987357477</v>
      </c>
      <c r="Q80" s="57" t="n">
        <f aca="false">Q49+Q65</f>
        <v>12.0790057286481</v>
      </c>
      <c r="R80" s="57" t="n">
        <f aca="false">R49+R65</f>
        <v>0</v>
      </c>
      <c r="S80" s="57" t="n">
        <f aca="false">S49+S65</f>
        <v>0</v>
      </c>
      <c r="T80" s="57" t="n">
        <f aca="false">T49+T65</f>
        <v>0</v>
      </c>
      <c r="U80" s="57" t="n">
        <f aca="false">U49+U65</f>
        <v>0</v>
      </c>
      <c r="V80" s="57" t="n">
        <f aca="false">V49+V65</f>
        <v>0</v>
      </c>
      <c r="W80" s="57" t="n">
        <f aca="false">W49+W65</f>
        <v>0</v>
      </c>
      <c r="X80" s="57" t="n">
        <f aca="false">X49+X65</f>
        <v>0</v>
      </c>
      <c r="Y80" s="57" t="n">
        <f aca="false">Y49+Y65</f>
        <v>0</v>
      </c>
      <c r="Z80" s="57" t="n">
        <f aca="false">Z49+Z65</f>
        <v>0</v>
      </c>
      <c r="AA80" s="57" t="n">
        <f aca="false">AA49+AA65</f>
        <v>0</v>
      </c>
      <c r="AB80" s="57" t="n">
        <f aca="false">AB49+AB65</f>
        <v>0</v>
      </c>
      <c r="AC80" s="57" t="n">
        <f aca="false">AC49+AC65</f>
        <v>0</v>
      </c>
      <c r="AD80" s="57" t="n">
        <f aca="false">AD49+AD65</f>
        <v>0</v>
      </c>
      <c r="AE80" s="57" t="n">
        <f aca="false">AE49+AE65</f>
        <v>0</v>
      </c>
      <c r="AF80" s="57" t="n">
        <f aca="false">AF49+AF65</f>
        <v>0</v>
      </c>
      <c r="AG80" s="57" t="n">
        <f aca="false">AG49+AG65</f>
        <v>0</v>
      </c>
      <c r="AH80" s="57" t="n">
        <f aca="false">AH49+AH65</f>
        <v>0</v>
      </c>
    </row>
    <row r="81" customFormat="false" ht="15" hidden="false" customHeight="true" outlineLevel="0" collapsed="false">
      <c r="B81" s="4" t="s">
        <v>851</v>
      </c>
      <c r="E81" s="57" t="n">
        <f aca="false">MAX(0,E79-E80)</f>
        <v>0</v>
      </c>
      <c r="F81" s="57" t="n">
        <f aca="false">MAX(0,E85*(1+Inputs!$C$83)+F79-F80)</f>
        <v>0</v>
      </c>
      <c r="G81" s="57" t="n">
        <f aca="false">MAX(0,F85*(1+Inputs!$C$83)+G79-G80)</f>
        <v>90.1266594191822</v>
      </c>
      <c r="H81" s="57" t="n">
        <f aca="false">MAX(0,G85*(1+Inputs!$C$83)+H79-H80)</f>
        <v>95.9704745886743</v>
      </c>
      <c r="I81" s="57" t="n">
        <f aca="false">MAX(0,H85*(1+Inputs!$C$83)+I79-I80)</f>
        <v>100.750365903401</v>
      </c>
      <c r="J81" s="57" t="n">
        <f aca="false">MAX(0,I85*(1+Inputs!$C$83)+J79-J80)</f>
        <v>106.247240915336</v>
      </c>
      <c r="K81" s="57" t="n">
        <f aca="false">MAX(0,J85*(1+Inputs!$C$83)+K79-K80)</f>
        <v>112.568647179062</v>
      </c>
      <c r="L81" s="57" t="n">
        <f aca="false">MAX(0,K85*(1+Inputs!$C$83)+L79-L80)</f>
        <v>119.838264382346</v>
      </c>
      <c r="M81" s="57" t="n">
        <f aca="false">MAX(0,L85*(1+Inputs!$C$83)+M79-M80)</f>
        <v>128.198324166123</v>
      </c>
      <c r="N81" s="57" t="n">
        <f aca="false">MAX(0,M85*(1+Inputs!$C$83)+N79-N80)</f>
        <v>137.812392917467</v>
      </c>
      <c r="O81" s="57" t="n">
        <f aca="false">MAX(0,N85*(1+Inputs!$C$83)+O79-O80)</f>
        <v>148.868571981512</v>
      </c>
      <c r="P81" s="57" t="n">
        <f aca="false">MAX(0,O85*(1+Inputs!$C$83)+P79-P80)</f>
        <v>161.583177905164</v>
      </c>
      <c r="Q81" s="57" t="n">
        <f aca="false">MAX(0,P85*(1+Inputs!$C$83)+Q79-Q80)</f>
        <v>173.741648862291</v>
      </c>
      <c r="R81" s="57" t="n">
        <f aca="false">MAX(0,Q85*(1+Inputs!$C$83)+R79-R80)</f>
        <v>184.613759471504</v>
      </c>
      <c r="S81" s="57" t="n">
        <f aca="false">MAX(0,R85*(1+Inputs!$C$83)+S79-S80)</f>
        <v>167.731422321686</v>
      </c>
      <c r="T81" s="57" t="n">
        <f aca="false">MAX(0,S85*(1+Inputs!$C$83)+T79-T80)</f>
        <v>170.436848346862</v>
      </c>
      <c r="U81" s="57" t="n">
        <f aca="false">MAX(0,T85*(1+Inputs!$C$83)+U79-U80)</f>
        <v>164.990573338936</v>
      </c>
      <c r="V81" s="57" t="n">
        <f aca="false">MAX(0,U85*(1+Inputs!$C$83)+V79-V80)</f>
        <v>161.871290486341</v>
      </c>
      <c r="W81" s="57" t="n">
        <f aca="false">MAX(0,V85*(1+Inputs!$C$83)+W79-W80)</f>
        <v>158.796640247737</v>
      </c>
      <c r="X81" s="57" t="n">
        <f aca="false">MAX(0,W85*(1+Inputs!$C$83)+X79-X80)</f>
        <v>155.619623885301</v>
      </c>
      <c r="Y81" s="57" t="n">
        <f aca="false">MAX(0,X85*(1+Inputs!$C$83)+Y79-Y80)</f>
        <v>152.232465036962</v>
      </c>
      <c r="Z81" s="57" t="n">
        <f aca="false">MAX(0,Y85*(1+Inputs!$C$83)+Z79-Z80)</f>
        <v>148.547985019247</v>
      </c>
      <c r="AA81" s="57" t="n">
        <f aca="false">MAX(0,Z85*(1+Inputs!$C$83)+AA79-AA80)</f>
        <v>144.487987643694</v>
      </c>
      <c r="AB81" s="57" t="n">
        <f aca="false">MAX(0,AA85*(1+Inputs!$C$83)+AB79-AB80)</f>
        <v>139.97578368659</v>
      </c>
      <c r="AC81" s="57" t="n">
        <f aca="false">MAX(0,AB85*(1+Inputs!$C$83)+AC79-AC80)</f>
        <v>134.93112318773</v>
      </c>
      <c r="AD81" s="57" t="n">
        <f aca="false">MAX(0,AC85*(1+Inputs!$C$83)+AD79-AD80)</f>
        <v>129.266485089121</v>
      </c>
      <c r="AE81" s="57" t="n">
        <f aca="false">MAX(0,AD85*(1+Inputs!$C$83)+AE79-AE80)</f>
        <v>122.884080816585</v>
      </c>
      <c r="AF81" s="57" t="n">
        <f aca="false">MAX(0,AE85*(1+Inputs!$C$83)+AF79-AF80)</f>
        <v>119.250485544228</v>
      </c>
      <c r="AG81" s="57" t="n">
        <f aca="false">MAX(0,AF85*(1+Inputs!$C$83)+AG79-AG80)</f>
        <v>124.459094526179</v>
      </c>
      <c r="AH81" s="57" t="n">
        <f aca="false">MAX(0,AG85*(1+Inputs!$C$83)+AH79-AH80)</f>
        <v>143.127958705105</v>
      </c>
    </row>
    <row r="82" customFormat="false" ht="15" hidden="false" customHeight="true" outlineLevel="0" collapsed="false">
      <c r="B82" s="4" t="s">
        <v>852</v>
      </c>
      <c r="E82" s="57" t="n">
        <f aca="false">(E76-E78)*$D$125</f>
        <v>0</v>
      </c>
      <c r="F82" s="57" t="n">
        <f aca="false">(F76-F78)*$D$125</f>
        <v>0</v>
      </c>
      <c r="G82" s="57" t="n">
        <f aca="false">(G76-G78)*$D$125</f>
        <v>0</v>
      </c>
      <c r="H82" s="57" t="n">
        <f aca="false">(H76-H78)*$D$125</f>
        <v>0</v>
      </c>
      <c r="I82" s="57" t="n">
        <f aca="false">(I76-I78)*$D$125</f>
        <v>0</v>
      </c>
      <c r="J82" s="57" t="n">
        <f aca="false">(J76-J78)*$D$125</f>
        <v>0</v>
      </c>
      <c r="K82" s="57" t="n">
        <f aca="false">(K76-K78)*$D$125</f>
        <v>0</v>
      </c>
      <c r="L82" s="57" t="n">
        <f aca="false">(L76-L78)*$D$125</f>
        <v>0</v>
      </c>
      <c r="M82" s="57" t="n">
        <f aca="false">(M76-M78)*$D$125</f>
        <v>0</v>
      </c>
      <c r="N82" s="57" t="n">
        <f aca="false">(N76-N78)*$D$125</f>
        <v>0</v>
      </c>
      <c r="O82" s="57" t="n">
        <f aca="false">(O76-O78)*$D$125</f>
        <v>0</v>
      </c>
      <c r="P82" s="57" t="n">
        <f aca="false">(P76-P78)*$D$125</f>
        <v>0</v>
      </c>
      <c r="Q82" s="57" t="n">
        <f aca="false">(Q76-Q78)*$D$125</f>
        <v>13.2079449740269</v>
      </c>
      <c r="R82" s="57" t="n">
        <f aca="false">(R76-R78)*$D$125</f>
        <v>38.7603487569942</v>
      </c>
      <c r="S82" s="57" t="n">
        <f aca="false">(S76-S78)*$D$125</f>
        <v>19.5254672374575</v>
      </c>
      <c r="T82" s="57" t="n">
        <f aca="false">(T76-T78)*$D$125</f>
        <v>26.9667845738747</v>
      </c>
      <c r="U82" s="57" t="n">
        <f aca="false">(U76-U78)*$D$125</f>
        <v>24.2329294377697</v>
      </c>
      <c r="V82" s="57" t="n">
        <f aca="false">(V76-V78)*$D$125</f>
        <v>23.7872554883091</v>
      </c>
      <c r="W82" s="57" t="n">
        <f aca="false">(W76-W78)*$D$125</f>
        <v>23.4752281735614</v>
      </c>
      <c r="X82" s="57" t="n">
        <f aca="false">(X76-X78)*$D$125</f>
        <v>23.2435673314216</v>
      </c>
      <c r="Y82" s="57" t="n">
        <f aca="false">(Y76-Y78)*$D$125</f>
        <v>23.0603041506599</v>
      </c>
      <c r="Z82" s="57" t="n">
        <f aca="false">(Z76-Z78)*$D$125</f>
        <v>22.9062566334268</v>
      </c>
      <c r="AA82" s="57" t="n">
        <f aca="false">(AA76-AA78)*$D$125</f>
        <v>22.769914872746</v>
      </c>
      <c r="AB82" s="57" t="n">
        <f aca="false">(AB76-AB78)*$D$125</f>
        <v>22.6443722189979</v>
      </c>
      <c r="AC82" s="57" t="n">
        <f aca="false">(AC76-AC78)*$D$125</f>
        <v>22.5254839797989</v>
      </c>
      <c r="AD82" s="57" t="n">
        <f aca="false">(AD76-AD78)*$D$125</f>
        <v>22.4107626399171</v>
      </c>
      <c r="AE82" s="57" t="n">
        <f aca="false">(AE76-AE78)*$D$125</f>
        <v>19.1880064302998</v>
      </c>
      <c r="AF82" s="57" t="n">
        <f aca="false">(AF76-AF78)*$D$125</f>
        <v>11.0251859562464</v>
      </c>
      <c r="AG82" s="57" t="n">
        <f aca="false">(AG76-AG78)*$D$125</f>
        <v>0</v>
      </c>
      <c r="AH82" s="57" t="n">
        <f aca="false">(AH76-AH78)*$D$125</f>
        <v>0</v>
      </c>
    </row>
    <row r="83" customFormat="false" ht="15" hidden="false" customHeight="true" outlineLevel="0" collapsed="false">
      <c r="B83" s="4" t="s">
        <v>853</v>
      </c>
      <c r="D83" s="59" t="n">
        <f aca="false">SUM(E83:AH83)</f>
        <v>359.729812855508</v>
      </c>
      <c r="E83" s="57" t="n">
        <f aca="false">IF(E82&lt;=E81,E82,E81+(E76-E78-E81/$D$125)*$D$125*(1-Inputs!$C$84))</f>
        <v>0</v>
      </c>
      <c r="F83" s="57" t="n">
        <f aca="false">IF(F82&lt;=F81,F82,F81+(F76-F78-F81/$D$125)*$D$125*(1-Inputs!$C$84))</f>
        <v>0</v>
      </c>
      <c r="G83" s="57" t="n">
        <f aca="false">IF(G82&lt;=G81,G82,G81+(G76-G78-G81/$D$125)*$D$125*(1-Inputs!$C$84))</f>
        <v>0</v>
      </c>
      <c r="H83" s="57" t="n">
        <f aca="false">IF(H82&lt;=H81,H82,H81+(H76-H78-H81/$D$125)*$D$125*(1-Inputs!$C$84))</f>
        <v>0</v>
      </c>
      <c r="I83" s="57" t="n">
        <f aca="false">IF(I82&lt;=I81,I82,I81+(I76-I78-I81/$D$125)*$D$125*(1-Inputs!$C$84))</f>
        <v>0</v>
      </c>
      <c r="J83" s="57" t="n">
        <f aca="false">IF(J82&lt;=J81,J82,J81+(J76-J78-J81/$D$125)*$D$125*(1-Inputs!$C$84))</f>
        <v>0</v>
      </c>
      <c r="K83" s="57" t="n">
        <f aca="false">IF(K82&lt;=K81,K82,K81+(K76-K78-K81/$D$125)*$D$125*(1-Inputs!$C$84))</f>
        <v>0</v>
      </c>
      <c r="L83" s="57" t="n">
        <f aca="false">IF(L82&lt;=L81,L82,L81+(L76-L78-L81/$D$125)*$D$125*(1-Inputs!$C$84))</f>
        <v>0</v>
      </c>
      <c r="M83" s="57" t="n">
        <f aca="false">IF(M82&lt;=M81,M82,M81+(M76-M78-M81/$D$125)*$D$125*(1-Inputs!$C$84))</f>
        <v>0</v>
      </c>
      <c r="N83" s="57" t="n">
        <f aca="false">IF(N82&lt;=N81,N82,N81+(N76-N78-N81/$D$125)*$D$125*(1-Inputs!$C$84))</f>
        <v>0</v>
      </c>
      <c r="O83" s="57" t="n">
        <f aca="false">IF(O82&lt;=O81,O82,O81+(O76-O78-O81/$D$125)*$D$125*(1-Inputs!$C$84))</f>
        <v>0</v>
      </c>
      <c r="P83" s="57" t="n">
        <f aca="false">IF(P82&lt;=P81,P82,P81+(P76-P78-P81/$D$125)*$D$125*(1-Inputs!$C$84))</f>
        <v>0</v>
      </c>
      <c r="Q83" s="57" t="n">
        <f aca="false">IF(Q82&lt;=Q81,Q82,Q81+(Q76-Q78-Q81/$D$125)*$D$125*(1-Inputs!$C$84))</f>
        <v>13.2079449740269</v>
      </c>
      <c r="R83" s="57" t="n">
        <f aca="false">IF(R82&lt;=R81,R82,R81+(R76-R78-R81/$D$125)*$D$125*(1-Inputs!$C$84))</f>
        <v>38.7603487569942</v>
      </c>
      <c r="S83" s="57" t="n">
        <f aca="false">IF(S82&lt;=S81,S82,S81+(S76-S78-S81/$D$125)*$D$125*(1-Inputs!$C$84))</f>
        <v>19.5254672374575</v>
      </c>
      <c r="T83" s="57" t="n">
        <f aca="false">IF(T82&lt;=T81,T82,T81+(T76-T78-T81/$D$125)*$D$125*(1-Inputs!$C$84))</f>
        <v>26.9667845738747</v>
      </c>
      <c r="U83" s="57" t="n">
        <f aca="false">IF(U82&lt;=U81,U82,U81+(U76-U78-U81/$D$125)*$D$125*(1-Inputs!$C$84))</f>
        <v>24.2329294377697</v>
      </c>
      <c r="V83" s="57" t="n">
        <f aca="false">IF(V82&lt;=V81,V82,V81+(V76-V78-V81/$D$125)*$D$125*(1-Inputs!$C$84))</f>
        <v>23.7872554883091</v>
      </c>
      <c r="W83" s="57" t="n">
        <f aca="false">IF(W82&lt;=W81,W82,W81+(W76-W78-W81/$D$125)*$D$125*(1-Inputs!$C$84))</f>
        <v>23.4752281735614</v>
      </c>
      <c r="X83" s="57" t="n">
        <f aca="false">IF(X82&lt;=X81,X82,X81+(X76-X78-X81/$D$125)*$D$125*(1-Inputs!$C$84))</f>
        <v>23.2435673314216</v>
      </c>
      <c r="Y83" s="57" t="n">
        <f aca="false">IF(Y82&lt;=Y81,Y82,Y81+(Y76-Y78-Y81/$D$125)*$D$125*(1-Inputs!$C$84))</f>
        <v>23.0603041506599</v>
      </c>
      <c r="Z83" s="57" t="n">
        <f aca="false">IF(Z82&lt;=Z81,Z82,Z81+(Z76-Z78-Z81/$D$125)*$D$125*(1-Inputs!$C$84))</f>
        <v>22.9062566334268</v>
      </c>
      <c r="AA83" s="57" t="n">
        <f aca="false">IF(AA82&lt;=AA81,AA82,AA81+(AA76-AA78-AA81/$D$125)*$D$125*(1-Inputs!$C$84))</f>
        <v>22.769914872746</v>
      </c>
      <c r="AB83" s="57" t="n">
        <f aca="false">IF(AB82&lt;=AB81,AB82,AB81+(AB76-AB78-AB81/$D$125)*$D$125*(1-Inputs!$C$84))</f>
        <v>22.6443722189979</v>
      </c>
      <c r="AC83" s="57" t="n">
        <f aca="false">IF(AC82&lt;=AC81,AC82,AC81+(AC76-AC78-AC81/$D$125)*$D$125*(1-Inputs!$C$84))</f>
        <v>22.5254839797989</v>
      </c>
      <c r="AD83" s="57" t="n">
        <f aca="false">IF(AD82&lt;=AD81,AD82,AD81+(AD76-AD78-AD81/$D$125)*$D$125*(1-Inputs!$C$84))</f>
        <v>22.4107626399171</v>
      </c>
      <c r="AE83" s="57" t="n">
        <f aca="false">IF(AE82&lt;=AE81,AE82,AE81+(AE76-AE78-AE81/$D$125)*$D$125*(1-Inputs!$C$84))</f>
        <v>19.1880064302998</v>
      </c>
      <c r="AF83" s="57" t="n">
        <f aca="false">IF(AF82&lt;=AF81,AF82,AF81+(AF76-AF78-AF81/$D$125)*$D$125*(1-Inputs!$C$84))</f>
        <v>11.0251859562464</v>
      </c>
      <c r="AG83" s="57" t="n">
        <f aca="false">IF(AG82&lt;=AG81,AG82,AG81+(AG76-AG78-AG81/$D$125)*$D$125*(1-Inputs!$C$84))</f>
        <v>0</v>
      </c>
      <c r="AH83" s="57" t="n">
        <f aca="false">IF(AH82&lt;=AH81,AH82,AH81+(AH76-AH78-AH81/$D$125)*$D$125*(1-Inputs!$C$84))</f>
        <v>0</v>
      </c>
    </row>
    <row r="84" customFormat="false" ht="15" hidden="false" customHeight="true" outlineLevel="0" collapsed="false">
      <c r="B84" s="4" t="s">
        <v>854</v>
      </c>
      <c r="D84" s="59" t="n">
        <f aca="false">SUM(E84:AH84)</f>
        <v>49.7798341831496</v>
      </c>
      <c r="E84" s="57" t="n">
        <f aca="false">E76-E78-E83</f>
        <v>0</v>
      </c>
      <c r="F84" s="57" t="n">
        <f aca="false">F76-F78-F83</f>
        <v>0</v>
      </c>
      <c r="G84" s="57" t="n">
        <f aca="false">G76-G78-G83</f>
        <v>0</v>
      </c>
      <c r="H84" s="57" t="n">
        <f aca="false">H76-H78-H83</f>
        <v>0</v>
      </c>
      <c r="I84" s="57" t="n">
        <f aca="false">I76-I78-I83</f>
        <v>0</v>
      </c>
      <c r="J84" s="57" t="n">
        <f aca="false">J76-J78-J83</f>
        <v>0</v>
      </c>
      <c r="K84" s="57" t="n">
        <f aca="false">K76-K78-K83</f>
        <v>0</v>
      </c>
      <c r="L84" s="57" t="n">
        <f aca="false">L76-L78-L83</f>
        <v>0</v>
      </c>
      <c r="M84" s="57" t="n">
        <f aca="false">M76-M78-M83</f>
        <v>0</v>
      </c>
      <c r="N84" s="57" t="n">
        <f aca="false">N76-N78-N83</f>
        <v>0</v>
      </c>
      <c r="O84" s="57" t="n">
        <f aca="false">O76-O78-O83</f>
        <v>0</v>
      </c>
      <c r="P84" s="57" t="n">
        <f aca="false">P76-P78-P83</f>
        <v>0</v>
      </c>
      <c r="Q84" s="57" t="n">
        <f aca="false">Q76-Q78-Q83</f>
        <v>1.8277309447558</v>
      </c>
      <c r="R84" s="57" t="n">
        <f aca="false">R76-R78-R83</f>
        <v>5.36370260415206</v>
      </c>
      <c r="S84" s="57" t="n">
        <f aca="false">S76-S78-S83</f>
        <v>2.70195709861714</v>
      </c>
      <c r="T84" s="57" t="n">
        <f aca="false">T76-T78-T83</f>
        <v>3.7316953351303</v>
      </c>
      <c r="U84" s="57" t="n">
        <f aca="false">U76-U78-U83</f>
        <v>3.35338124913399</v>
      </c>
      <c r="V84" s="57" t="n">
        <f aca="false">V76-V78-V83</f>
        <v>3.29170836434363</v>
      </c>
      <c r="W84" s="57" t="n">
        <f aca="false">W76-W78-W83</f>
        <v>3.24852965789876</v>
      </c>
      <c r="X84" s="57" t="n">
        <f aca="false">X76-X78-X83</f>
        <v>3.21647215836347</v>
      </c>
      <c r="Y84" s="57" t="n">
        <f aca="false">Y76-Y78-Y83</f>
        <v>3.1911119840766</v>
      </c>
      <c r="Z84" s="57" t="n">
        <f aca="false">Z76-Z78-Z83</f>
        <v>3.16979470763705</v>
      </c>
      <c r="AA84" s="57" t="n">
        <f aca="false">AA76-AA78-AA83</f>
        <v>3.15092757459335</v>
      </c>
      <c r="AB84" s="57" t="n">
        <f aca="false">AB76-AB78-AB83</f>
        <v>3.13355483465589</v>
      </c>
      <c r="AC84" s="57" t="n">
        <f aca="false">AC76-AC78-AC83</f>
        <v>3.11710294042262</v>
      </c>
      <c r="AD84" s="57" t="n">
        <f aca="false">AD76-AD78-AD83</f>
        <v>3.10122766661294</v>
      </c>
      <c r="AE84" s="57" t="n">
        <f aca="false">AE76-AE78-AE83</f>
        <v>2.65525887560838</v>
      </c>
      <c r="AF84" s="57" t="n">
        <f aca="false">AF76-AF78-AF83</f>
        <v>1.5256781871476</v>
      </c>
      <c r="AG84" s="57" t="n">
        <f aca="false">AG76-AG78-AG83</f>
        <v>0</v>
      </c>
      <c r="AH84" s="57" t="n">
        <f aca="false">AH76-AH78-AH83</f>
        <v>0</v>
      </c>
    </row>
    <row r="85" customFormat="false" ht="15" hidden="false" customHeight="true" outlineLevel="0" collapsed="false">
      <c r="B85" s="4" t="s">
        <v>855</v>
      </c>
      <c r="E85" s="57" t="n">
        <f aca="false">MAX(0,E81-E83)</f>
        <v>0</v>
      </c>
      <c r="F85" s="57" t="n">
        <f aca="false">MAX(0,F81-F83)</f>
        <v>0</v>
      </c>
      <c r="G85" s="57" t="n">
        <f aca="false">MAX(0,G81-G83)</f>
        <v>90.1266594191822</v>
      </c>
      <c r="H85" s="57" t="n">
        <f aca="false">MAX(0,H81-H83)</f>
        <v>95.9704745886743</v>
      </c>
      <c r="I85" s="57" t="n">
        <f aca="false">MAX(0,I81-I83)</f>
        <v>100.750365903401</v>
      </c>
      <c r="J85" s="57" t="n">
        <f aca="false">MAX(0,J81-J83)</f>
        <v>106.247240915336</v>
      </c>
      <c r="K85" s="57" t="n">
        <f aca="false">MAX(0,K81-K83)</f>
        <v>112.568647179062</v>
      </c>
      <c r="L85" s="57" t="n">
        <f aca="false">MAX(0,L81-L83)</f>
        <v>119.838264382346</v>
      </c>
      <c r="M85" s="57" t="n">
        <f aca="false">MAX(0,M81-M83)</f>
        <v>128.198324166123</v>
      </c>
      <c r="N85" s="57" t="n">
        <f aca="false">MAX(0,N81-N83)</f>
        <v>137.812392917467</v>
      </c>
      <c r="O85" s="57" t="n">
        <f aca="false">MAX(0,O81-O83)</f>
        <v>148.868571981512</v>
      </c>
      <c r="P85" s="57" t="n">
        <f aca="false">MAX(0,P81-P83)</f>
        <v>161.583177905164</v>
      </c>
      <c r="Q85" s="57" t="n">
        <f aca="false">MAX(0,Q81-Q83)</f>
        <v>160.533703888264</v>
      </c>
      <c r="R85" s="57" t="n">
        <f aca="false">MAX(0,R81-R83)</f>
        <v>145.853410714509</v>
      </c>
      <c r="S85" s="57" t="n">
        <f aca="false">MAX(0,S81-S83)</f>
        <v>148.205955084228</v>
      </c>
      <c r="T85" s="57" t="n">
        <f aca="false">MAX(0,T81-T83)</f>
        <v>143.470063772988</v>
      </c>
      <c r="U85" s="57" t="n">
        <f aca="false">MAX(0,U81-U83)</f>
        <v>140.757643901166</v>
      </c>
      <c r="V85" s="57" t="n">
        <f aca="false">MAX(0,V81-V83)</f>
        <v>138.084034998032</v>
      </c>
      <c r="W85" s="57" t="n">
        <f aca="false">MAX(0,W81-W83)</f>
        <v>135.321412074175</v>
      </c>
      <c r="X85" s="57" t="n">
        <f aca="false">MAX(0,X81-X83)</f>
        <v>132.37605655388</v>
      </c>
      <c r="Y85" s="57" t="n">
        <f aca="false">MAX(0,Y81-Y83)</f>
        <v>129.172160886302</v>
      </c>
      <c r="Z85" s="57" t="n">
        <f aca="false">MAX(0,Z81-Z83)</f>
        <v>125.64172838582</v>
      </c>
      <c r="AA85" s="57" t="n">
        <f aca="false">MAX(0,AA81-AA83)</f>
        <v>121.718072770948</v>
      </c>
      <c r="AB85" s="57" t="n">
        <f aca="false">MAX(0,AB81-AB83)</f>
        <v>117.331411467592</v>
      </c>
      <c r="AC85" s="57" t="n">
        <f aca="false">MAX(0,AC81-AC83)</f>
        <v>112.405639207932</v>
      </c>
      <c r="AD85" s="57" t="n">
        <f aca="false">MAX(0,AD81-AD83)</f>
        <v>106.855722449204</v>
      </c>
      <c r="AE85" s="57" t="n">
        <f aca="false">MAX(0,AE81-AE83)</f>
        <v>103.696074386285</v>
      </c>
      <c r="AF85" s="57" t="n">
        <f aca="false">MAX(0,AF81-AF83)</f>
        <v>108.225299587981</v>
      </c>
      <c r="AG85" s="57" t="n">
        <f aca="false">MAX(0,AG81-AG83)</f>
        <v>124.459094526179</v>
      </c>
      <c r="AH85" s="57" t="n">
        <f aca="false">MAX(0,AH81-AH83)</f>
        <v>143.127958705105</v>
      </c>
    </row>
    <row r="86" customFormat="false" ht="15" hidden="false" customHeight="true" outlineLevel="0" collapsed="false">
      <c r="B86" s="21" t="s">
        <v>856</v>
      </c>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row>
    <row r="87" customFormat="false" ht="15" hidden="false" customHeight="true" outlineLevel="0" collapsed="false">
      <c r="B87" s="4" t="s">
        <v>857</v>
      </c>
      <c r="D87" s="59" t="n">
        <f aca="false">SUM(E87:AH87)</f>
        <v>0</v>
      </c>
      <c r="E87" s="57" t="n">
        <f aca="false">IF(E5=Inputs!$C$77,Inputs!$C$98*$D$132,0)</f>
        <v>0</v>
      </c>
      <c r="F87" s="57" t="n">
        <f aca="false">IF(F5=Inputs!$C$77,Inputs!$C$98*$D$132,0)</f>
        <v>0</v>
      </c>
      <c r="G87" s="57" t="n">
        <f aca="false">IF(G5=Inputs!$C$77,Inputs!$C$98*$D$132,0)</f>
        <v>0</v>
      </c>
      <c r="H87" s="57" t="n">
        <f aca="false">IF(H5=Inputs!$C$77,Inputs!$C$98*$D$132,0)</f>
        <v>0</v>
      </c>
      <c r="I87" s="57" t="n">
        <f aca="false">IF(I5=Inputs!$C$77,Inputs!$C$98*$D$132,0)</f>
        <v>0</v>
      </c>
      <c r="J87" s="57" t="n">
        <f aca="false">IF(J5=Inputs!$C$77,Inputs!$C$98*$D$132,0)</f>
        <v>0</v>
      </c>
      <c r="K87" s="57" t="n">
        <f aca="false">IF(K5=Inputs!$C$77,Inputs!$C$98*$D$132,0)</f>
        <v>0</v>
      </c>
      <c r="L87" s="57" t="n">
        <f aca="false">IF(L5=Inputs!$C$77,Inputs!$C$98*$D$132,0)</f>
        <v>0</v>
      </c>
      <c r="M87" s="57" t="n">
        <f aca="false">IF(M5=Inputs!$C$77,Inputs!$C$98*$D$132,0)</f>
        <v>0</v>
      </c>
      <c r="N87" s="57" t="n">
        <f aca="false">IF(N5=Inputs!$C$77,Inputs!$C$98*$D$132,0)</f>
        <v>0</v>
      </c>
      <c r="O87" s="57" t="n">
        <f aca="false">IF(O5=Inputs!$C$77,Inputs!$C$98*$D$132,0)</f>
        <v>0</v>
      </c>
      <c r="P87" s="57" t="n">
        <f aca="false">IF(P5=Inputs!$C$77,Inputs!$C$98*$D$132,0)</f>
        <v>0</v>
      </c>
      <c r="Q87" s="57" t="n">
        <f aca="false">IF(Q5=Inputs!$C$77,Inputs!$C$98*$D$132,0)</f>
        <v>0</v>
      </c>
      <c r="R87" s="57" t="n">
        <f aca="false">IF(R5=Inputs!$C$77,Inputs!$C$98*$D$132,0)</f>
        <v>0</v>
      </c>
      <c r="S87" s="57" t="n">
        <f aca="false">IF(S5=Inputs!$C$77,Inputs!$C$98*$D$132,0)</f>
        <v>0</v>
      </c>
      <c r="T87" s="57" t="n">
        <f aca="false">IF(T5=Inputs!$C$77,Inputs!$C$98*$D$132,0)</f>
        <v>0</v>
      </c>
      <c r="U87" s="57" t="n">
        <f aca="false">IF(U5=Inputs!$C$77,Inputs!$C$98*$D$132,0)</f>
        <v>0</v>
      </c>
      <c r="V87" s="57" t="n">
        <f aca="false">IF(V5=Inputs!$C$77,Inputs!$C$98*$D$132,0)</f>
        <v>0</v>
      </c>
      <c r="W87" s="57" t="n">
        <f aca="false">IF(W5=Inputs!$C$77,Inputs!$C$98*$D$132,0)</f>
        <v>0</v>
      </c>
      <c r="X87" s="57" t="n">
        <f aca="false">IF(X5=Inputs!$C$77,Inputs!$C$98*$D$132,0)</f>
        <v>0</v>
      </c>
      <c r="Y87" s="57" t="n">
        <f aca="false">IF(Y5=Inputs!$C$77,Inputs!$C$98*$D$132,0)</f>
        <v>0</v>
      </c>
      <c r="Z87" s="57" t="n">
        <f aca="false">IF(Z5=Inputs!$C$77,Inputs!$C$98*$D$132,0)</f>
        <v>0</v>
      </c>
      <c r="AA87" s="57" t="n">
        <f aca="false">IF(AA5=Inputs!$C$77,Inputs!$C$98*$D$132,0)</f>
        <v>0</v>
      </c>
      <c r="AB87" s="57" t="n">
        <f aca="false">IF(AB5=Inputs!$C$77,Inputs!$C$98*$D$132,0)</f>
        <v>0</v>
      </c>
      <c r="AC87" s="57" t="n">
        <f aca="false">IF(AC5=Inputs!$C$77,Inputs!$C$98*$D$132,0)</f>
        <v>0</v>
      </c>
      <c r="AD87" s="57" t="n">
        <f aca="false">IF(AD5=Inputs!$C$77,Inputs!$C$98*$D$132,0)</f>
        <v>0</v>
      </c>
      <c r="AE87" s="57" t="n">
        <f aca="false">IF(AE5=Inputs!$C$77,Inputs!$C$98*$D$132,0)</f>
        <v>0</v>
      </c>
      <c r="AF87" s="57" t="n">
        <f aca="false">IF(AF5=Inputs!$C$77,Inputs!$C$98*$D$132,0)</f>
        <v>0</v>
      </c>
      <c r="AG87" s="57" t="n">
        <f aca="false">IF(AG5=Inputs!$C$77,Inputs!$C$98*$D$132,0)</f>
        <v>0</v>
      </c>
      <c r="AH87" s="57" t="n">
        <f aca="false">IF(AH5=Inputs!$C$77,Inputs!$C$98*$D$132,0)</f>
        <v>0</v>
      </c>
    </row>
    <row r="88" customFormat="false" ht="15" hidden="false" customHeight="true" outlineLevel="0" collapsed="false">
      <c r="B88" s="4" t="s">
        <v>858</v>
      </c>
      <c r="E88" s="66" t="n">
        <f aca="false">IF(E5&gt;=Inputs!$C$77,1-Inputs!$C$98,1)</f>
        <v>1</v>
      </c>
      <c r="F88" s="66" t="n">
        <f aca="false">IF(F5&gt;=Inputs!$C$77,1-Inputs!$C$98,1)</f>
        <v>1</v>
      </c>
      <c r="G88" s="66" t="n">
        <f aca="false">IF(G5&gt;=Inputs!$C$77,1-Inputs!$C$98,1)</f>
        <v>1</v>
      </c>
      <c r="H88" s="66" t="n">
        <f aca="false">IF(H5&gt;=Inputs!$C$77,1-Inputs!$C$98,1)</f>
        <v>1</v>
      </c>
      <c r="I88" s="66" t="n">
        <f aca="false">IF(I5&gt;=Inputs!$C$77,1-Inputs!$C$98,1)</f>
        <v>1</v>
      </c>
      <c r="J88" s="66" t="n">
        <f aca="false">IF(J5&gt;=Inputs!$C$77,1-Inputs!$C$98,1)</f>
        <v>1</v>
      </c>
      <c r="K88" s="66" t="n">
        <f aca="false">IF(K5&gt;=Inputs!$C$77,1-Inputs!$C$98,1)</f>
        <v>1</v>
      </c>
      <c r="L88" s="66" t="n">
        <f aca="false">IF(L5&gt;=Inputs!$C$77,1-Inputs!$C$98,1)</f>
        <v>1</v>
      </c>
      <c r="M88" s="66" t="n">
        <f aca="false">IF(M5&gt;=Inputs!$C$77,1-Inputs!$C$98,1)</f>
        <v>1</v>
      </c>
      <c r="N88" s="66" t="n">
        <f aca="false">IF(N5&gt;=Inputs!$C$77,1-Inputs!$C$98,1)</f>
        <v>1</v>
      </c>
      <c r="O88" s="66" t="n">
        <f aca="false">IF(O5&gt;=Inputs!$C$77,1-Inputs!$C$98,1)</f>
        <v>1</v>
      </c>
      <c r="P88" s="66" t="n">
        <f aca="false">IF(P5&gt;=Inputs!$C$77,1-Inputs!$C$98,1)</f>
        <v>1</v>
      </c>
      <c r="Q88" s="66" t="n">
        <f aca="false">IF(Q5&gt;=Inputs!$C$77,1-Inputs!$C$98,1)</f>
        <v>1</v>
      </c>
      <c r="R88" s="66" t="n">
        <f aca="false">IF(R5&gt;=Inputs!$C$77,1-Inputs!$C$98,1)</f>
        <v>1</v>
      </c>
      <c r="S88" s="66" t="n">
        <f aca="false">IF(S5&gt;=Inputs!$C$77,1-Inputs!$C$98,1)</f>
        <v>1</v>
      </c>
      <c r="T88" s="66" t="n">
        <f aca="false">IF(T5&gt;=Inputs!$C$77,1-Inputs!$C$98,1)</f>
        <v>1</v>
      </c>
      <c r="U88" s="66" t="n">
        <f aca="false">IF(U5&gt;=Inputs!$C$77,1-Inputs!$C$98,1)</f>
        <v>1</v>
      </c>
      <c r="V88" s="66" t="n">
        <f aca="false">IF(V5&gt;=Inputs!$C$77,1-Inputs!$C$98,1)</f>
        <v>1</v>
      </c>
      <c r="W88" s="66" t="n">
        <f aca="false">IF(W5&gt;=Inputs!$C$77,1-Inputs!$C$98,1)</f>
        <v>1</v>
      </c>
      <c r="X88" s="66" t="n">
        <f aca="false">IF(X5&gt;=Inputs!$C$77,1-Inputs!$C$98,1)</f>
        <v>1</v>
      </c>
      <c r="Y88" s="66" t="n">
        <f aca="false">IF(Y5&gt;=Inputs!$C$77,1-Inputs!$C$98,1)</f>
        <v>1</v>
      </c>
      <c r="Z88" s="66" t="n">
        <f aca="false">IF(Z5&gt;=Inputs!$C$77,1-Inputs!$C$98,1)</f>
        <v>1</v>
      </c>
      <c r="AA88" s="66" t="n">
        <f aca="false">IF(AA5&gt;=Inputs!$C$77,1-Inputs!$C$98,1)</f>
        <v>1</v>
      </c>
      <c r="AB88" s="66" t="n">
        <f aca="false">IF(AB5&gt;=Inputs!$C$77,1-Inputs!$C$98,1)</f>
        <v>1</v>
      </c>
      <c r="AC88" s="66" t="n">
        <f aca="false">IF(AC5&gt;=Inputs!$C$77,1-Inputs!$C$98,1)</f>
        <v>1</v>
      </c>
      <c r="AD88" s="66" t="n">
        <f aca="false">IF(AD5&gt;=Inputs!$C$77,1-Inputs!$C$98,1)</f>
        <v>1</v>
      </c>
      <c r="AE88" s="66" t="n">
        <f aca="false">IF(AE5&gt;=Inputs!$C$77,1-Inputs!$C$98,1)</f>
        <v>1</v>
      </c>
      <c r="AF88" s="66" t="n">
        <f aca="false">IF(AF5&gt;=Inputs!$C$77,1-Inputs!$C$98,1)</f>
        <v>1</v>
      </c>
      <c r="AG88" s="66" t="n">
        <f aca="false">IF(AG5&gt;=Inputs!$C$77,1-Inputs!$C$98,1)</f>
        <v>1</v>
      </c>
      <c r="AH88" s="66" t="n">
        <f aca="false">IF(AH5&gt;=Inputs!$C$77,1-Inputs!$C$98,1)</f>
        <v>1</v>
      </c>
    </row>
    <row r="89" customFormat="false" ht="15" hidden="false" customHeight="true" outlineLevel="0" collapsed="false">
      <c r="B89" s="40" t="s">
        <v>859</v>
      </c>
      <c r="D89" s="59" t="n">
        <f aca="false">SUM(E89:AH89)</f>
        <v>366.282781896957</v>
      </c>
      <c r="E89" s="57" t="n">
        <f aca="false">-E79+E80+E83-E87+(1-E88)*(E50+E78)</f>
        <v>0</v>
      </c>
      <c r="F89" s="57" t="n">
        <f aca="false">-F79+F80+F83-F87+(1-F88)*(F50+F78)</f>
        <v>0</v>
      </c>
      <c r="G89" s="57" t="n">
        <f aca="false">-G79+G80+G83-G87+(1-G88)*(G50+G78)</f>
        <v>-90.1266594191822</v>
      </c>
      <c r="H89" s="57" t="n">
        <f aca="false">-H79+H80+H83-H87+(1-H88)*(H50+H78)</f>
        <v>7.67518374338512</v>
      </c>
      <c r="I89" s="57" t="n">
        <f aca="false">-I79+I80+I83-I87+(1-I88)*(I50+I78)</f>
        <v>9.61567987357477</v>
      </c>
      <c r="J89" s="57" t="n">
        <f aca="false">-J79+J80+J83-J87+(1-J88)*(J50+J78)</f>
        <v>9.61567987357477</v>
      </c>
      <c r="K89" s="57" t="n">
        <f aca="false">-K79+K80+K83-K87+(1-K88)*(K50+K78)</f>
        <v>9.61567987357477</v>
      </c>
      <c r="L89" s="57" t="n">
        <f aca="false">-L79+L80+L83-L87+(1-L88)*(L50+L78)</f>
        <v>9.61567987357477</v>
      </c>
      <c r="M89" s="57" t="n">
        <f aca="false">-M79+M80+M83-M87+(1-M88)*(M50+M78)</f>
        <v>9.61567987357477</v>
      </c>
      <c r="N89" s="57" t="n">
        <f aca="false">-N79+N80+N83-N87+(1-N88)*(N50+N78)</f>
        <v>9.61567987357477</v>
      </c>
      <c r="O89" s="57" t="n">
        <f aca="false">-O79+O80+O83-O87+(1-O88)*(O50+O78)</f>
        <v>9.61567987357477</v>
      </c>
      <c r="P89" s="57" t="n">
        <f aca="false">-P79+P80+P83-P87+(1-P88)*(P50+P78)</f>
        <v>9.61567987357477</v>
      </c>
      <c r="Q89" s="57" t="n">
        <f aca="false">-Q79+Q80+Q83-Q87+(1-Q88)*(Q50+Q78)</f>
        <v>25.286950702675</v>
      </c>
      <c r="R89" s="57" t="n">
        <f aca="false">-R79+R80+R83-R87+(1-R88)*(R50+R78)</f>
        <v>38.7603487569942</v>
      </c>
      <c r="S89" s="57" t="n">
        <f aca="false">-S79+S80+S83-S87+(1-S88)*(S50+S78)</f>
        <v>19.5254672374575</v>
      </c>
      <c r="T89" s="57" t="n">
        <f aca="false">-T79+T80+T83-T87+(1-T88)*(T50+T78)</f>
        <v>26.9667845738747</v>
      </c>
      <c r="U89" s="57" t="n">
        <f aca="false">-U79+U80+U83-U87+(1-U88)*(U50+U78)</f>
        <v>24.2329294377697</v>
      </c>
      <c r="V89" s="57" t="n">
        <f aca="false">-V79+V80+V83-V87+(1-V88)*(V50+V78)</f>
        <v>23.7872554883091</v>
      </c>
      <c r="W89" s="57" t="n">
        <f aca="false">-W79+W80+W83-W87+(1-W88)*(W50+W78)</f>
        <v>23.4752281735614</v>
      </c>
      <c r="X89" s="57" t="n">
        <f aca="false">-X79+X80+X83-X87+(1-X88)*(X50+X78)</f>
        <v>23.2435673314216</v>
      </c>
      <c r="Y89" s="57" t="n">
        <f aca="false">-Y79+Y80+Y83-Y87+(1-Y88)*(Y50+Y78)</f>
        <v>23.0603041506599</v>
      </c>
      <c r="Z89" s="57" t="n">
        <f aca="false">-Z79+Z80+Z83-Z87+(1-Z88)*(Z50+Z78)</f>
        <v>22.9062566334268</v>
      </c>
      <c r="AA89" s="57" t="n">
        <f aca="false">-AA79+AA80+AA83-AA87+(1-AA88)*(AA50+AA78)</f>
        <v>22.769914872746</v>
      </c>
      <c r="AB89" s="57" t="n">
        <f aca="false">-AB79+AB80+AB83-AB87+(1-AB88)*(AB50+AB78)</f>
        <v>22.6443722189979</v>
      </c>
      <c r="AC89" s="57" t="n">
        <f aca="false">-AC79+AC80+AC83-AC87+(1-AC88)*(AC50+AC78)</f>
        <v>22.5254839797989</v>
      </c>
      <c r="AD89" s="57" t="n">
        <f aca="false">-AD79+AD80+AD83-AD87+(1-AD88)*(AD50+AD78)</f>
        <v>22.4107626399171</v>
      </c>
      <c r="AE89" s="57" t="n">
        <f aca="false">-AE79+AE80+AE83-AE87+(1-AE88)*(AE50+AE78)</f>
        <v>19.1880064302998</v>
      </c>
      <c r="AF89" s="57" t="n">
        <f aca="false">-AF79+AF80+AF83-AF87+(1-AF88)*(AF50+AF78)</f>
        <v>11.0251859562464</v>
      </c>
      <c r="AG89" s="57" t="n">
        <f aca="false">-AG79+AG80+AG83-AG87+(1-AG88)*(AG50+AG78)</f>
        <v>0</v>
      </c>
      <c r="AH89" s="57" t="n">
        <f aca="false">-AH79+AH80+AH83-AH87+(1-AH88)*(AH50+AH78)</f>
        <v>0</v>
      </c>
    </row>
    <row r="90" customFormat="false" ht="15" hidden="false" customHeight="true" outlineLevel="0" collapsed="false">
      <c r="B90" s="40" t="s">
        <v>860</v>
      </c>
      <c r="D90" s="59" t="n">
        <f aca="false">SUM(E90:AH90)</f>
        <v>39.7798341831496</v>
      </c>
      <c r="E90" s="57" t="n">
        <f aca="false">-E29+E84</f>
        <v>-5.59125</v>
      </c>
      <c r="F90" s="57" t="n">
        <f aca="false">-F29+F84</f>
        <v>-4.40875</v>
      </c>
      <c r="G90" s="57" t="n">
        <f aca="false">-G29+G84</f>
        <v>0</v>
      </c>
      <c r="H90" s="57" t="n">
        <f aca="false">-H29+H84</f>
        <v>0</v>
      </c>
      <c r="I90" s="57" t="n">
        <f aca="false">-I29+I84</f>
        <v>0</v>
      </c>
      <c r="J90" s="57" t="n">
        <f aca="false">-J29+J84</f>
        <v>0</v>
      </c>
      <c r="K90" s="57" t="n">
        <f aca="false">-K29+K84</f>
        <v>0</v>
      </c>
      <c r="L90" s="57" t="n">
        <f aca="false">-L29+L84</f>
        <v>0</v>
      </c>
      <c r="M90" s="57" t="n">
        <f aca="false">-M29+M84</f>
        <v>0</v>
      </c>
      <c r="N90" s="57" t="n">
        <f aca="false">-N29+N84</f>
        <v>0</v>
      </c>
      <c r="O90" s="57" t="n">
        <f aca="false">-O29+O84</f>
        <v>0</v>
      </c>
      <c r="P90" s="57" t="n">
        <f aca="false">-P29+P84</f>
        <v>0</v>
      </c>
      <c r="Q90" s="57" t="n">
        <f aca="false">-Q29+Q84</f>
        <v>1.8277309447558</v>
      </c>
      <c r="R90" s="57" t="n">
        <f aca="false">-R29+R84</f>
        <v>5.36370260415206</v>
      </c>
      <c r="S90" s="57" t="n">
        <f aca="false">-S29+S84</f>
        <v>2.70195709861714</v>
      </c>
      <c r="T90" s="57" t="n">
        <f aca="false">-T29+T84</f>
        <v>3.7316953351303</v>
      </c>
      <c r="U90" s="57" t="n">
        <f aca="false">-U29+U84</f>
        <v>3.35338124913399</v>
      </c>
      <c r="V90" s="57" t="n">
        <f aca="false">-V29+V84</f>
        <v>3.29170836434363</v>
      </c>
      <c r="W90" s="57" t="n">
        <f aca="false">-W29+W84</f>
        <v>3.24852965789876</v>
      </c>
      <c r="X90" s="57" t="n">
        <f aca="false">-X29+X84</f>
        <v>3.21647215836347</v>
      </c>
      <c r="Y90" s="57" t="n">
        <f aca="false">-Y29+Y84</f>
        <v>3.1911119840766</v>
      </c>
      <c r="Z90" s="57" t="n">
        <f aca="false">-Z29+Z84</f>
        <v>3.16979470763705</v>
      </c>
      <c r="AA90" s="57" t="n">
        <f aca="false">-AA29+AA84</f>
        <v>3.15092757459335</v>
      </c>
      <c r="AB90" s="57" t="n">
        <f aca="false">-AB29+AB84</f>
        <v>3.13355483465589</v>
      </c>
      <c r="AC90" s="57" t="n">
        <f aca="false">-AC29+AC84</f>
        <v>3.11710294042262</v>
      </c>
      <c r="AD90" s="57" t="n">
        <f aca="false">-AD29+AD84</f>
        <v>3.10122766661294</v>
      </c>
      <c r="AE90" s="57" t="n">
        <f aca="false">-AE29+AE84</f>
        <v>2.65525887560838</v>
      </c>
      <c r="AF90" s="57" t="n">
        <f aca="false">-AF29+AF84</f>
        <v>1.5256781871476</v>
      </c>
      <c r="AG90" s="57" t="n">
        <f aca="false">-AG29+AG84</f>
        <v>0</v>
      </c>
      <c r="AH90" s="57" t="n">
        <f aca="false">-AH29+AH84</f>
        <v>0</v>
      </c>
    </row>
    <row r="91" customFormat="false" ht="15" hidden="false" customHeight="true" outlineLevel="0" collapsed="false">
      <c r="B91" s="4" t="s">
        <v>861</v>
      </c>
      <c r="D91" s="59" t="n">
        <f aca="false">SUM(E91:AH91)</f>
        <v>0</v>
      </c>
      <c r="E91" s="57" t="n">
        <f aca="false">-E32+E87+E88*(E50+E78)</f>
        <v>0</v>
      </c>
      <c r="F91" s="57" t="n">
        <f aca="false">-F32+F87+F88*(F50+F78)</f>
        <v>0</v>
      </c>
      <c r="G91" s="57" t="n">
        <f aca="false">-G32+G87+G88*(G50+G78)</f>
        <v>0</v>
      </c>
      <c r="H91" s="57" t="n">
        <f aca="false">-H32+H87+H88*(H50+H78)</f>
        <v>0</v>
      </c>
      <c r="I91" s="57" t="n">
        <f aca="false">-I32+I87+I88*(I50+I78)</f>
        <v>0</v>
      </c>
      <c r="J91" s="57" t="n">
        <f aca="false">-J32+J87+J88*(J50+J78)</f>
        <v>0</v>
      </c>
      <c r="K91" s="57" t="n">
        <f aca="false">-K32+K87+K88*(K50+K78)</f>
        <v>0</v>
      </c>
      <c r="L91" s="57" t="n">
        <f aca="false">-L32+L87+L88*(L50+L78)</f>
        <v>0</v>
      </c>
      <c r="M91" s="57" t="n">
        <f aca="false">-M32+M87+M88*(M50+M78)</f>
        <v>0</v>
      </c>
      <c r="N91" s="57" t="n">
        <f aca="false">-N32+N87+N88*(N50+N78)</f>
        <v>0</v>
      </c>
      <c r="O91" s="57" t="n">
        <f aca="false">-O32+O87+O88*(O50+O78)</f>
        <v>0</v>
      </c>
      <c r="P91" s="57" t="n">
        <f aca="false">-P32+P87+P88*(P50+P78)</f>
        <v>0</v>
      </c>
      <c r="Q91" s="57" t="n">
        <f aca="false">-Q32+Q87+Q88*(Q50+Q78)</f>
        <v>0</v>
      </c>
      <c r="R91" s="57" t="n">
        <f aca="false">-R32+R87+R88*(R50+R78)</f>
        <v>0</v>
      </c>
      <c r="S91" s="57" t="n">
        <f aca="false">-S32+S87+S88*(S50+S78)</f>
        <v>0</v>
      </c>
      <c r="T91" s="57" t="n">
        <f aca="false">-T32+T87+T88*(T50+T78)</f>
        <v>0</v>
      </c>
      <c r="U91" s="57" t="n">
        <f aca="false">-U32+U87+U88*(U50+U78)</f>
        <v>0</v>
      </c>
      <c r="V91" s="57" t="n">
        <f aca="false">-V32+V87+V88*(V50+V78)</f>
        <v>0</v>
      </c>
      <c r="W91" s="57" t="n">
        <f aca="false">-W32+W87+W88*(W50+W78)</f>
        <v>0</v>
      </c>
      <c r="X91" s="57" t="n">
        <f aca="false">-X32+X87+X88*(X50+X78)</f>
        <v>0</v>
      </c>
      <c r="Y91" s="57" t="n">
        <f aca="false">-Y32+Y87+Y88*(Y50+Y78)</f>
        <v>0</v>
      </c>
      <c r="Z91" s="57" t="n">
        <f aca="false">-Z32+Z87+Z88*(Z50+Z78)</f>
        <v>0</v>
      </c>
      <c r="AA91" s="57" t="n">
        <f aca="false">-AA32+AA87+AA88*(AA50+AA78)</f>
        <v>0</v>
      </c>
      <c r="AB91" s="57" t="n">
        <f aca="false">-AB32+AB87+AB88*(AB50+AB78)</f>
        <v>0</v>
      </c>
      <c r="AC91" s="57" t="n">
        <f aca="false">-AC32+AC87+AC88*(AC50+AC78)</f>
        <v>0</v>
      </c>
      <c r="AD91" s="57" t="n">
        <f aca="false">-AD32+AD87+AD88*(AD50+AD78)</f>
        <v>0</v>
      </c>
      <c r="AE91" s="57" t="n">
        <f aca="false">-AE32+AE87+AE88*(AE50+AE78)</f>
        <v>0</v>
      </c>
      <c r="AF91" s="57" t="n">
        <f aca="false">-AF32+AF87+AF88*(AF50+AF78)</f>
        <v>0</v>
      </c>
      <c r="AG91" s="57" t="n">
        <f aca="false">-AG32+AG87+AG88*(AG50+AG78)</f>
        <v>0</v>
      </c>
      <c r="AH91" s="57" t="n">
        <f aca="false">-AH32+AH87+AH88*(AH50+AH78)</f>
        <v>0</v>
      </c>
    </row>
    <row r="92" customFormat="false" ht="15" hidden="false" customHeight="true" outlineLevel="0" collapsed="false">
      <c r="B92" s="4" t="s">
        <v>862</v>
      </c>
      <c r="D92" s="59" t="n">
        <f aca="false">SUM(E92:AH92)</f>
        <v>0</v>
      </c>
      <c r="E92" s="57" t="n">
        <f aca="false">-E32+E87-MAX(0,E87-Inputs!$C$98*$D$32)*Inputs!$C$101+E88*(E50*(1-Inputs!$C$101)+E62*$D$124*(1-Inputs!$C$101)+(E72+E74)*$D$124)</f>
        <v>0</v>
      </c>
      <c r="F92" s="57" t="n">
        <f aca="false">-F32+F87-MAX(0,F87-Inputs!$C$98*$D$32)*Inputs!$C$101+F88*(F50*(1-Inputs!$C$101)+F62*$D$124*(1-Inputs!$C$101)+(F72+F74)*$D$124)</f>
        <v>0</v>
      </c>
      <c r="G92" s="57" t="n">
        <f aca="false">-G32+G87-MAX(0,G87-Inputs!$C$98*$D$32)*Inputs!$C$101+G88*(G50*(1-Inputs!$C$101)+G62*$D$124*(1-Inputs!$C$101)+(G72+G74)*$D$124)</f>
        <v>0</v>
      </c>
      <c r="H92" s="57" t="n">
        <f aca="false">-H32+H87-MAX(0,H87-Inputs!$C$98*$D$32)*Inputs!$C$101+H88*(H50*(1-Inputs!$C$101)+H62*$D$124*(1-Inputs!$C$101)+(H72+H74)*$D$124)</f>
        <v>0</v>
      </c>
      <c r="I92" s="57" t="n">
        <f aca="false">-I32+I87-MAX(0,I87-Inputs!$C$98*$D$32)*Inputs!$C$101+I88*(I50*(1-Inputs!$C$101)+I62*$D$124*(1-Inputs!$C$101)+(I72+I74)*$D$124)</f>
        <v>0</v>
      </c>
      <c r="J92" s="57" t="n">
        <f aca="false">-J32+J87-MAX(0,J87-Inputs!$C$98*$D$32)*Inputs!$C$101+J88*(J50*(1-Inputs!$C$101)+J62*$D$124*(1-Inputs!$C$101)+(J72+J74)*$D$124)</f>
        <v>0</v>
      </c>
      <c r="K92" s="57" t="n">
        <f aca="false">-K32+K87-MAX(0,K87-Inputs!$C$98*$D$32)*Inputs!$C$101+K88*(K50*(1-Inputs!$C$101)+K62*$D$124*(1-Inputs!$C$101)+(K72+K74)*$D$124)</f>
        <v>0</v>
      </c>
      <c r="L92" s="57" t="n">
        <f aca="false">-L32+L87-MAX(0,L87-Inputs!$C$98*$D$32)*Inputs!$C$101+L88*(L50*(1-Inputs!$C$101)+L62*$D$124*(1-Inputs!$C$101)+(L72+L74)*$D$124)</f>
        <v>0</v>
      </c>
      <c r="M92" s="57" t="n">
        <f aca="false">-M32+M87-MAX(0,M87-Inputs!$C$98*$D$32)*Inputs!$C$101+M88*(M50*(1-Inputs!$C$101)+M62*$D$124*(1-Inputs!$C$101)+(M72+M74)*$D$124)</f>
        <v>0</v>
      </c>
      <c r="N92" s="57" t="n">
        <f aca="false">-N32+N87-MAX(0,N87-Inputs!$C$98*$D$32)*Inputs!$C$101+N88*(N50*(1-Inputs!$C$101)+N62*$D$124*(1-Inputs!$C$101)+(N72+N74)*$D$124)</f>
        <v>0</v>
      </c>
      <c r="O92" s="57" t="n">
        <f aca="false">-O32+O87-MAX(0,O87-Inputs!$C$98*$D$32)*Inputs!$C$101+O88*(O50*(1-Inputs!$C$101)+O62*$D$124*(1-Inputs!$C$101)+(O72+O74)*$D$124)</f>
        <v>0</v>
      </c>
      <c r="P92" s="57" t="n">
        <f aca="false">-P32+P87-MAX(0,P87-Inputs!$C$98*$D$32)*Inputs!$C$101+P88*(P50*(1-Inputs!$C$101)+P62*$D$124*(1-Inputs!$C$101)+(P72+P74)*$D$124)</f>
        <v>0</v>
      </c>
      <c r="Q92" s="57" t="n">
        <f aca="false">-Q32+Q87-MAX(0,Q87-Inputs!$C$98*$D$32)*Inputs!$C$101+Q88*(Q50*(1-Inputs!$C$101)+Q62*$D$124*(1-Inputs!$C$101)+(Q72+Q74)*$D$124)</f>
        <v>0</v>
      </c>
      <c r="R92" s="57" t="n">
        <f aca="false">-R32+R87-MAX(0,R87-Inputs!$C$98*$D$32)*Inputs!$C$101+R88*(R50*(1-Inputs!$C$101)+R62*$D$124*(1-Inputs!$C$101)+(R72+R74)*$D$124)</f>
        <v>0</v>
      </c>
      <c r="S92" s="57" t="n">
        <f aca="false">-S32+S87-MAX(0,S87-Inputs!$C$98*$D$32)*Inputs!$C$101+S88*(S50*(1-Inputs!$C$101)+S62*$D$124*(1-Inputs!$C$101)+(S72+S74)*$D$124)</f>
        <v>0</v>
      </c>
      <c r="T92" s="57" t="n">
        <f aca="false">-T32+T87-MAX(0,T87-Inputs!$C$98*$D$32)*Inputs!$C$101+T88*(T50*(1-Inputs!$C$101)+T62*$D$124*(1-Inputs!$C$101)+(T72+T74)*$D$124)</f>
        <v>0</v>
      </c>
      <c r="U92" s="57" t="n">
        <f aca="false">-U32+U87-MAX(0,U87-Inputs!$C$98*$D$32)*Inputs!$C$101+U88*(U50*(1-Inputs!$C$101)+U62*$D$124*(1-Inputs!$C$101)+(U72+U74)*$D$124)</f>
        <v>0</v>
      </c>
      <c r="V92" s="57" t="n">
        <f aca="false">-V32+V87-MAX(0,V87-Inputs!$C$98*$D$32)*Inputs!$C$101+V88*(V50*(1-Inputs!$C$101)+V62*$D$124*(1-Inputs!$C$101)+(V72+V74)*$D$124)</f>
        <v>0</v>
      </c>
      <c r="W92" s="57" t="n">
        <f aca="false">-W32+W87-MAX(0,W87-Inputs!$C$98*$D$32)*Inputs!$C$101+W88*(W50*(1-Inputs!$C$101)+W62*$D$124*(1-Inputs!$C$101)+(W72+W74)*$D$124)</f>
        <v>0</v>
      </c>
      <c r="X92" s="57" t="n">
        <f aca="false">-X32+X87-MAX(0,X87-Inputs!$C$98*$D$32)*Inputs!$C$101+X88*(X50*(1-Inputs!$C$101)+X62*$D$124*(1-Inputs!$C$101)+(X72+X74)*$D$124)</f>
        <v>0</v>
      </c>
      <c r="Y92" s="57" t="n">
        <f aca="false">-Y32+Y87-MAX(0,Y87-Inputs!$C$98*$D$32)*Inputs!$C$101+Y88*(Y50*(1-Inputs!$C$101)+Y62*$D$124*(1-Inputs!$C$101)+(Y72+Y74)*$D$124)</f>
        <v>0</v>
      </c>
      <c r="Z92" s="57" t="n">
        <f aca="false">-Z32+Z87-MAX(0,Z87-Inputs!$C$98*$D$32)*Inputs!$C$101+Z88*(Z50*(1-Inputs!$C$101)+Z62*$D$124*(1-Inputs!$C$101)+(Z72+Z74)*$D$124)</f>
        <v>0</v>
      </c>
      <c r="AA92" s="57" t="n">
        <f aca="false">-AA32+AA87-MAX(0,AA87-Inputs!$C$98*$D$32)*Inputs!$C$101+AA88*(AA50*(1-Inputs!$C$101)+AA62*$D$124*(1-Inputs!$C$101)+(AA72+AA74)*$D$124)</f>
        <v>0</v>
      </c>
      <c r="AB92" s="57" t="n">
        <f aca="false">-AB32+AB87-MAX(0,AB87-Inputs!$C$98*$D$32)*Inputs!$C$101+AB88*(AB50*(1-Inputs!$C$101)+AB62*$D$124*(1-Inputs!$C$101)+(AB72+AB74)*$D$124)</f>
        <v>0</v>
      </c>
      <c r="AC92" s="57" t="n">
        <f aca="false">-AC32+AC87-MAX(0,AC87-Inputs!$C$98*$D$32)*Inputs!$C$101+AC88*(AC50*(1-Inputs!$C$101)+AC62*$D$124*(1-Inputs!$C$101)+(AC72+AC74)*$D$124)</f>
        <v>0</v>
      </c>
      <c r="AD92" s="57" t="n">
        <f aca="false">-AD32+AD87-MAX(0,AD87-Inputs!$C$98*$D$32)*Inputs!$C$101+AD88*(AD50*(1-Inputs!$C$101)+AD62*$D$124*(1-Inputs!$C$101)+(AD72+AD74)*$D$124)</f>
        <v>0</v>
      </c>
      <c r="AE92" s="57" t="n">
        <f aca="false">-AE32+AE87-MAX(0,AE87-Inputs!$C$98*$D$32)*Inputs!$C$101+AE88*(AE50*(1-Inputs!$C$101)+AE62*$D$124*(1-Inputs!$C$101)+(AE72+AE74)*$D$124)</f>
        <v>0</v>
      </c>
      <c r="AF92" s="57" t="n">
        <f aca="false">-AF32+AF87-MAX(0,AF87-Inputs!$C$98*$D$32)*Inputs!$C$101+AF88*(AF50*(1-Inputs!$C$101)+AF62*$D$124*(1-Inputs!$C$101)+(AF72+AF74)*$D$124)</f>
        <v>0</v>
      </c>
      <c r="AG92" s="57" t="n">
        <f aca="false">-AG32+AG87-MAX(0,AG87-Inputs!$C$98*$D$32)*Inputs!$C$101+AG88*(AG50*(1-Inputs!$C$101)+AG62*$D$124*(1-Inputs!$C$101)+(AG72+AG74)*$D$124)</f>
        <v>0</v>
      </c>
      <c r="AH92" s="57" t="n">
        <f aca="false">-AH32+AH87-MAX(0,AH87-Inputs!$C$98*$D$32)*Inputs!$C$101+AH88*(AH50*(1-Inputs!$C$101)+AH62*$D$124*(1-Inputs!$C$101)+(AH72+AH74)*$D$124)</f>
        <v>0</v>
      </c>
    </row>
    <row r="93" customFormat="false" ht="15" hidden="false" customHeight="true" outlineLevel="0" collapsed="false">
      <c r="B93" s="4" t="s">
        <v>863</v>
      </c>
      <c r="D93" s="59" t="n">
        <f aca="false">SUM(E93:AH93)</f>
        <v>406.062616080107</v>
      </c>
      <c r="E93" s="57" t="n">
        <f aca="false">E89+E90+E91</f>
        <v>-5.59125</v>
      </c>
      <c r="F93" s="57" t="n">
        <f aca="false">F89+F90+F91</f>
        <v>-4.40875</v>
      </c>
      <c r="G93" s="57" t="n">
        <f aca="false">G89+G90+G91</f>
        <v>-90.1266594191822</v>
      </c>
      <c r="H93" s="57" t="n">
        <f aca="false">H89+H90+H91</f>
        <v>7.67518374338512</v>
      </c>
      <c r="I93" s="57" t="n">
        <f aca="false">I89+I90+I91</f>
        <v>9.61567987357477</v>
      </c>
      <c r="J93" s="57" t="n">
        <f aca="false">J89+J90+J91</f>
        <v>9.61567987357477</v>
      </c>
      <c r="K93" s="57" t="n">
        <f aca="false">K89+K90+K91</f>
        <v>9.61567987357477</v>
      </c>
      <c r="L93" s="57" t="n">
        <f aca="false">L89+L90+L91</f>
        <v>9.61567987357477</v>
      </c>
      <c r="M93" s="57" t="n">
        <f aca="false">M89+M90+M91</f>
        <v>9.61567987357477</v>
      </c>
      <c r="N93" s="57" t="n">
        <f aca="false">N89+N90+N91</f>
        <v>9.61567987357477</v>
      </c>
      <c r="O93" s="57" t="n">
        <f aca="false">O89+O90+O91</f>
        <v>9.61567987357477</v>
      </c>
      <c r="P93" s="57" t="n">
        <f aca="false">P89+P90+P91</f>
        <v>9.61567987357477</v>
      </c>
      <c r="Q93" s="57" t="n">
        <f aca="false">Q89+Q90+Q91</f>
        <v>27.1146816474308</v>
      </c>
      <c r="R93" s="57" t="n">
        <f aca="false">R89+R90+R91</f>
        <v>44.1240513611463</v>
      </c>
      <c r="S93" s="57" t="n">
        <f aca="false">S89+S90+S91</f>
        <v>22.2274243360747</v>
      </c>
      <c r="T93" s="57" t="n">
        <f aca="false">T89+T90+T91</f>
        <v>30.698479909005</v>
      </c>
      <c r="U93" s="57" t="n">
        <f aca="false">U89+U90+U91</f>
        <v>27.5863106869037</v>
      </c>
      <c r="V93" s="57" t="n">
        <f aca="false">V89+V90+V91</f>
        <v>27.0789638526528</v>
      </c>
      <c r="W93" s="57" t="n">
        <f aca="false">W89+W90+W91</f>
        <v>26.7237578314602</v>
      </c>
      <c r="X93" s="57" t="n">
        <f aca="false">X89+X90+X91</f>
        <v>26.4600394897851</v>
      </c>
      <c r="Y93" s="57" t="n">
        <f aca="false">Y89+Y90+Y91</f>
        <v>26.2514161347365</v>
      </c>
      <c r="Z93" s="57" t="n">
        <f aca="false">Z89+Z90+Z91</f>
        <v>26.0760513410638</v>
      </c>
      <c r="AA93" s="57" t="n">
        <f aca="false">AA89+AA90+AA91</f>
        <v>25.9208424473393</v>
      </c>
      <c r="AB93" s="57" t="n">
        <f aca="false">AB89+AB90+AB91</f>
        <v>25.7779270536538</v>
      </c>
      <c r="AC93" s="57" t="n">
        <f aca="false">AC89+AC90+AC91</f>
        <v>25.6425869202215</v>
      </c>
      <c r="AD93" s="57" t="n">
        <f aca="false">AD89+AD90+AD91</f>
        <v>25.51199030653</v>
      </c>
      <c r="AE93" s="57" t="n">
        <f aca="false">AE89+AE90+AE91</f>
        <v>21.8432653059082</v>
      </c>
      <c r="AF93" s="57" t="n">
        <f aca="false">AF89+AF90+AF91</f>
        <v>12.550864143394</v>
      </c>
      <c r="AG93" s="57" t="n">
        <f aca="false">AG89+AG90+AG91</f>
        <v>0</v>
      </c>
      <c r="AH93" s="57" t="n">
        <f aca="false">AH89+AH90+AH91</f>
        <v>0</v>
      </c>
    </row>
    <row r="94" customFormat="false" ht="15" hidden="false" customHeight="true" outlineLevel="0" collapsed="false">
      <c r="B94" s="21" t="s">
        <v>864</v>
      </c>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row>
    <row r="95" customFormat="false" ht="15" hidden="false" customHeight="true" outlineLevel="0" collapsed="false">
      <c r="B95" s="4" t="s">
        <v>865</v>
      </c>
      <c r="D95" s="59" t="n">
        <f aca="false">SUM(E95:AH95)</f>
        <v>410.271538078455</v>
      </c>
      <c r="E95" s="57" t="n">
        <f aca="false">IF(E5&gt;Inputs!$C$88,E80+E83+(1-E88)*(E50+E78),0)</f>
        <v>0</v>
      </c>
      <c r="F95" s="57" t="n">
        <f aca="false">IF(F5&gt;Inputs!$C$88,F80+F83+(1-F88)*(F50+F78),0)</f>
        <v>0</v>
      </c>
      <c r="G95" s="57" t="n">
        <f aca="false">IF(G5&gt;Inputs!$C$88,G80+G83+(1-G88)*(G50+G78),0)</f>
        <v>0</v>
      </c>
      <c r="H95" s="57" t="n">
        <f aca="false">IF(H5&gt;Inputs!$C$88,H80+H83+(1-H88)*(H50+H78),0)</f>
        <v>0</v>
      </c>
      <c r="I95" s="57" t="n">
        <f aca="false">IF(I5&gt;Inputs!$C$88,I80+I83+(1-I88)*(I50+I78),0)</f>
        <v>0</v>
      </c>
      <c r="J95" s="57" t="n">
        <f aca="false">IF(J5&gt;Inputs!$C$88,J80+J83+(1-J88)*(J50+J78),0)</f>
        <v>0</v>
      </c>
      <c r="K95" s="57" t="n">
        <f aca="false">IF(K5&gt;Inputs!$C$88,K80+K83+(1-K88)*(K50+K78),0)</f>
        <v>0</v>
      </c>
      <c r="L95" s="57" t="n">
        <f aca="false">IF(L5&gt;Inputs!$C$88,L80+L83+(1-L88)*(L50+L78),0)</f>
        <v>0</v>
      </c>
      <c r="M95" s="57" t="n">
        <f aca="false">IF(M5&gt;Inputs!$C$88,M80+M83+(1-M88)*(M50+M78),0)</f>
        <v>9.61567987357477</v>
      </c>
      <c r="N95" s="57" t="n">
        <f aca="false">IF(N5&gt;Inputs!$C$88,N80+N83+(1-N88)*(N50+N78),0)</f>
        <v>9.61567987357477</v>
      </c>
      <c r="O95" s="57" t="n">
        <f aca="false">IF(O5&gt;Inputs!$C$88,O80+O83+(1-O88)*(O50+O78),0)</f>
        <v>9.61567987357477</v>
      </c>
      <c r="P95" s="57" t="n">
        <f aca="false">IF(P5&gt;Inputs!$C$88,P80+P83+(1-P88)*(P50+P78),0)</f>
        <v>9.61567987357477</v>
      </c>
      <c r="Q95" s="57" t="n">
        <f aca="false">IF(Q5&gt;Inputs!$C$88,Q80+Q83+(1-Q88)*(Q50+Q78),0)</f>
        <v>25.286950702675</v>
      </c>
      <c r="R95" s="57" t="n">
        <f aca="false">IF(R5&gt;Inputs!$C$88,R80+R83+(1-R88)*(R50+R78),0)</f>
        <v>38.7603487569942</v>
      </c>
      <c r="S95" s="57" t="n">
        <f aca="false">IF(S5&gt;Inputs!$C$88,S80+S83+(1-S88)*(S50+S78),0)</f>
        <v>19.5254672374575</v>
      </c>
      <c r="T95" s="57" t="n">
        <f aca="false">IF(T5&gt;Inputs!$C$88,T80+T83+(1-T88)*(T50+T78),0)</f>
        <v>26.9667845738747</v>
      </c>
      <c r="U95" s="57" t="n">
        <f aca="false">IF(U5&gt;Inputs!$C$88,U80+U83+(1-U88)*(U50+U78),0)</f>
        <v>24.2329294377697</v>
      </c>
      <c r="V95" s="57" t="n">
        <f aca="false">IF(V5&gt;Inputs!$C$88,V80+V83+(1-V88)*(V50+V78),0)</f>
        <v>23.7872554883091</v>
      </c>
      <c r="W95" s="57" t="n">
        <f aca="false">IF(W5&gt;Inputs!$C$88,W80+W83+(1-W88)*(W50+W78),0)</f>
        <v>23.4752281735614</v>
      </c>
      <c r="X95" s="57" t="n">
        <f aca="false">IF(X5&gt;Inputs!$C$88,X80+X83+(1-X88)*(X50+X78),0)</f>
        <v>23.2435673314216</v>
      </c>
      <c r="Y95" s="57" t="n">
        <f aca="false">IF(Y5&gt;Inputs!$C$88,Y80+Y83+(1-Y88)*(Y50+Y78),0)</f>
        <v>23.0603041506599</v>
      </c>
      <c r="Z95" s="57" t="n">
        <f aca="false">IF(Z5&gt;Inputs!$C$88,Z80+Z83+(1-Z88)*(Z50+Z78),0)</f>
        <v>22.9062566334268</v>
      </c>
      <c r="AA95" s="57" t="n">
        <f aca="false">IF(AA5&gt;Inputs!$C$88,AA80+AA83+(1-AA88)*(AA50+AA78),0)</f>
        <v>22.769914872746</v>
      </c>
      <c r="AB95" s="57" t="n">
        <f aca="false">IF(AB5&gt;Inputs!$C$88,AB80+AB83+(1-AB88)*(AB50+AB78),0)</f>
        <v>22.6443722189979</v>
      </c>
      <c r="AC95" s="57" t="n">
        <f aca="false">IF(AC5&gt;Inputs!$C$88,AC80+AC83+(1-AC88)*(AC50+AC78),0)</f>
        <v>22.5254839797989</v>
      </c>
      <c r="AD95" s="57" t="n">
        <f aca="false">IF(AD5&gt;Inputs!$C$88,AD80+AD83+(1-AD88)*(AD50+AD78),0)</f>
        <v>22.4107626399171</v>
      </c>
      <c r="AE95" s="57" t="n">
        <f aca="false">IF(AE5&gt;Inputs!$C$88,AE80+AE83+(1-AE88)*(AE50+AE78),0)</f>
        <v>19.1880064302998</v>
      </c>
      <c r="AF95" s="57" t="n">
        <f aca="false">IF(AF5&gt;Inputs!$C$88,AF80+AF83+(1-AF88)*(AF50+AF78),0)</f>
        <v>11.0251859562464</v>
      </c>
      <c r="AG95" s="57" t="n">
        <f aca="false">IF(AG5&gt;Inputs!$C$88,AG80+AG83+(1-AG88)*(AG50+AG78),0)</f>
        <v>0</v>
      </c>
      <c r="AH95" s="57" t="n">
        <f aca="false">IF(AH5&gt;Inputs!$C$88,AH80+AH83+(1-AH88)*(AH50+AH78),0)</f>
        <v>0</v>
      </c>
    </row>
    <row r="96" customFormat="false" ht="15" hidden="false" customHeight="true" outlineLevel="0" collapsed="false">
      <c r="B96" s="4" t="s">
        <v>866</v>
      </c>
      <c r="E96" s="64" t="n">
        <f aca="false">IF(E5&gt;Inputs!$C$88,1/(1+Inputs!$C$89)^(E5-Inputs!$C$88),0)</f>
        <v>0</v>
      </c>
      <c r="F96" s="64" t="n">
        <f aca="false">IF(F5&gt;Inputs!$C$88,1/(1+Inputs!$C$89)^(F5-Inputs!$C$88),0)</f>
        <v>0</v>
      </c>
      <c r="G96" s="64" t="n">
        <f aca="false">IF(G5&gt;Inputs!$C$88,1/(1+Inputs!$C$89)^(G5-Inputs!$C$88),0)</f>
        <v>0</v>
      </c>
      <c r="H96" s="64" t="n">
        <f aca="false">IF(H5&gt;Inputs!$C$88,1/(1+Inputs!$C$89)^(H5-Inputs!$C$88),0)</f>
        <v>0</v>
      </c>
      <c r="I96" s="64" t="n">
        <f aca="false">IF(I5&gt;Inputs!$C$88,1/(1+Inputs!$C$89)^(I5-Inputs!$C$88),0)</f>
        <v>0</v>
      </c>
      <c r="J96" s="64" t="n">
        <f aca="false">IF(J5&gt;Inputs!$C$88,1/(1+Inputs!$C$89)^(J5-Inputs!$C$88),0)</f>
        <v>0</v>
      </c>
      <c r="K96" s="64" t="n">
        <f aca="false">IF(K5&gt;Inputs!$C$88,1/(1+Inputs!$C$89)^(K5-Inputs!$C$88),0)</f>
        <v>0</v>
      </c>
      <c r="L96" s="64" t="n">
        <f aca="false">IF(L5&gt;Inputs!$C$88,1/(1+Inputs!$C$89)^(L5-Inputs!$C$88),0)</f>
        <v>0</v>
      </c>
      <c r="M96" s="64" t="n">
        <f aca="false">IF(M5&gt;Inputs!$C$88,1/(1+Inputs!$C$89)^(M5-Inputs!$C$88),0)</f>
        <v>0.884955752212389</v>
      </c>
      <c r="N96" s="64" t="n">
        <f aca="false">IF(N5&gt;Inputs!$C$88,1/(1+Inputs!$C$89)^(N5-Inputs!$C$88),0)</f>
        <v>0.783146683373796</v>
      </c>
      <c r="O96" s="64" t="n">
        <f aca="false">IF(O5&gt;Inputs!$C$88,1/(1+Inputs!$C$89)^(O5-Inputs!$C$88),0)</f>
        <v>0.693050162277696</v>
      </c>
      <c r="P96" s="64" t="n">
        <f aca="false">IF(P5&gt;Inputs!$C$88,1/(1+Inputs!$C$89)^(P5-Inputs!$C$88),0)</f>
        <v>0.613318727679377</v>
      </c>
      <c r="Q96" s="64" t="n">
        <f aca="false">IF(Q5&gt;Inputs!$C$88,1/(1+Inputs!$C$89)^(Q5-Inputs!$C$88),0)</f>
        <v>0.542759935999449</v>
      </c>
      <c r="R96" s="64" t="n">
        <f aca="false">IF(R5&gt;Inputs!$C$88,1/(1+Inputs!$C$89)^(R5-Inputs!$C$88),0)</f>
        <v>0.48031852743314</v>
      </c>
      <c r="S96" s="64" t="n">
        <f aca="false">IF(S5&gt;Inputs!$C$88,1/(1+Inputs!$C$89)^(S5-Inputs!$C$88),0)</f>
        <v>0.425060643746142</v>
      </c>
      <c r="T96" s="64" t="n">
        <f aca="false">IF(T5&gt;Inputs!$C$88,1/(1+Inputs!$C$89)^(T5-Inputs!$C$88),0)</f>
        <v>0.37615986172225</v>
      </c>
      <c r="U96" s="64" t="n">
        <f aca="false">IF(U5&gt;Inputs!$C$88,1/(1+Inputs!$C$89)^(U5-Inputs!$C$88),0)</f>
        <v>0.332884833382522</v>
      </c>
      <c r="V96" s="64" t="n">
        <f aca="false">IF(V5&gt;Inputs!$C$88,1/(1+Inputs!$C$89)^(V5-Inputs!$C$88),0)</f>
        <v>0.294588348126126</v>
      </c>
      <c r="W96" s="64" t="n">
        <f aca="false">IF(W5&gt;Inputs!$C$88,1/(1+Inputs!$C$89)^(W5-Inputs!$C$88),0)</f>
        <v>0.260697653208961</v>
      </c>
      <c r="X96" s="64" t="n">
        <f aca="false">IF(X5&gt;Inputs!$C$88,1/(1+Inputs!$C$89)^(X5-Inputs!$C$88),0)</f>
        <v>0.23070588779554</v>
      </c>
      <c r="Y96" s="64" t="n">
        <f aca="false">IF(Y5&gt;Inputs!$C$88,1/(1+Inputs!$C$89)^(Y5-Inputs!$C$88),0)</f>
        <v>0.20416450247393</v>
      </c>
      <c r="Z96" s="64" t="n">
        <f aca="false">IF(Z5&gt;Inputs!$C$88,1/(1+Inputs!$C$89)^(Z5-Inputs!$C$88),0)</f>
        <v>0.180676550861885</v>
      </c>
      <c r="AA96" s="64" t="n">
        <f aca="false">IF(AA5&gt;Inputs!$C$88,1/(1+Inputs!$C$89)^(AA5-Inputs!$C$88),0)</f>
        <v>0.159890752975119</v>
      </c>
      <c r="AB96" s="64" t="n">
        <f aca="false">IF(AB5&gt;Inputs!$C$88,1/(1+Inputs!$C$89)^(AB5-Inputs!$C$88),0)</f>
        <v>0.141496241570902</v>
      </c>
      <c r="AC96" s="64" t="n">
        <f aca="false">IF(AC5&gt;Inputs!$C$88,1/(1+Inputs!$C$89)^(AC5-Inputs!$C$88),0)</f>
        <v>0.125217912894603</v>
      </c>
      <c r="AD96" s="64" t="n">
        <f aca="false">IF(AD5&gt;Inputs!$C$88,1/(1+Inputs!$C$89)^(AD5-Inputs!$C$88),0)</f>
        <v>0.110812312296109</v>
      </c>
      <c r="AE96" s="64" t="n">
        <f aca="false">IF(AE5&gt;Inputs!$C$88,1/(1+Inputs!$C$89)^(AE5-Inputs!$C$88),0)</f>
        <v>0.0980639931823976</v>
      </c>
      <c r="AF96" s="64" t="n">
        <f aca="false">IF(AF5&gt;Inputs!$C$88,1/(1+Inputs!$C$89)^(AF5-Inputs!$C$88),0)</f>
        <v>0.0867822948516793</v>
      </c>
      <c r="AG96" s="64" t="n">
        <f aca="false">IF(AG5&gt;Inputs!$C$88,1/(1+Inputs!$C$89)^(AG5-Inputs!$C$88),0)</f>
        <v>0.0767984910191852</v>
      </c>
      <c r="AH96" s="64" t="n">
        <f aca="false">IF(AH5&gt;Inputs!$C$88,1/(1+Inputs!$C$89)^(AH5-Inputs!$C$88),0)</f>
        <v>0.0679632663886595</v>
      </c>
    </row>
    <row r="97" customFormat="false" ht="15" hidden="false" customHeight="true" outlineLevel="0" collapsed="false">
      <c r="B97" s="4" t="s">
        <v>867</v>
      </c>
      <c r="D97" s="59" t="n">
        <f aca="false">SUM(E97:AH97)</f>
        <v>74.5712249687448</v>
      </c>
      <c r="E97" s="57" t="n">
        <f aca="false">IF(E5&lt;Inputs!$C$88,E89,IF(E5=Inputs!$C$88,E89+$D$120,0))</f>
        <v>0</v>
      </c>
      <c r="F97" s="57" t="n">
        <f aca="false">IF(F5&lt;Inputs!$C$88,F89,IF(F5=Inputs!$C$88,F89+$D$120,0))</f>
        <v>0</v>
      </c>
      <c r="G97" s="57" t="n">
        <f aca="false">IF(G5&lt;Inputs!$C$88,G89,IF(G5=Inputs!$C$88,G89+$D$120,0))</f>
        <v>-90.1266594191822</v>
      </c>
      <c r="H97" s="57" t="n">
        <f aca="false">IF(H5&lt;Inputs!$C$88,H89,IF(H5=Inputs!$C$88,H89+$D$120,0))</f>
        <v>7.67518374338512</v>
      </c>
      <c r="I97" s="57" t="n">
        <f aca="false">IF(I5&lt;Inputs!$C$88,I89,IF(I5=Inputs!$C$88,I89+$D$120,0))</f>
        <v>9.61567987357477</v>
      </c>
      <c r="J97" s="57" t="n">
        <f aca="false">IF(J5&lt;Inputs!$C$88,J89,IF(J5=Inputs!$C$88,J89+$D$120,0))</f>
        <v>9.61567987357477</v>
      </c>
      <c r="K97" s="57" t="n">
        <f aca="false">IF(K5&lt;Inputs!$C$88,K89,IF(K5=Inputs!$C$88,K89+$D$120,0))</f>
        <v>9.61567987357477</v>
      </c>
      <c r="L97" s="57" t="n">
        <f aca="false">IF(L5&lt;Inputs!$C$88,L89,IF(L5=Inputs!$C$88,L89+$D$120,0))</f>
        <v>128.175661023818</v>
      </c>
      <c r="M97" s="57" t="n">
        <f aca="false">IF(M5&lt;Inputs!$C$88,M89,IF(M5=Inputs!$C$88,M89+$D$120,0))</f>
        <v>0</v>
      </c>
      <c r="N97" s="57" t="n">
        <f aca="false">IF(N5&lt;Inputs!$C$88,N89,IF(N5=Inputs!$C$88,N89+$D$120,0))</f>
        <v>0</v>
      </c>
      <c r="O97" s="57" t="n">
        <f aca="false">IF(O5&lt;Inputs!$C$88,O89,IF(O5=Inputs!$C$88,O89+$D$120,0))</f>
        <v>0</v>
      </c>
      <c r="P97" s="57" t="n">
        <f aca="false">IF(P5&lt;Inputs!$C$88,P89,IF(P5=Inputs!$C$88,P89+$D$120,0))</f>
        <v>0</v>
      </c>
      <c r="Q97" s="57" t="n">
        <f aca="false">IF(Q5&lt;Inputs!$C$88,Q89,IF(Q5=Inputs!$C$88,Q89+$D$120,0))</f>
        <v>0</v>
      </c>
      <c r="R97" s="57" t="n">
        <f aca="false">IF(R5&lt;Inputs!$C$88,R89,IF(R5=Inputs!$C$88,R89+$D$120,0))</f>
        <v>0</v>
      </c>
      <c r="S97" s="57" t="n">
        <f aca="false">IF(S5&lt;Inputs!$C$88,S89,IF(S5=Inputs!$C$88,S89+$D$120,0))</f>
        <v>0</v>
      </c>
      <c r="T97" s="57" t="n">
        <f aca="false">IF(T5&lt;Inputs!$C$88,T89,IF(T5=Inputs!$C$88,T89+$D$120,0))</f>
        <v>0</v>
      </c>
      <c r="U97" s="57" t="n">
        <f aca="false">IF(U5&lt;Inputs!$C$88,U89,IF(U5=Inputs!$C$88,U89+$D$120,0))</f>
        <v>0</v>
      </c>
      <c r="V97" s="57" t="n">
        <f aca="false">IF(V5&lt;Inputs!$C$88,V89,IF(V5=Inputs!$C$88,V89+$D$120,0))</f>
        <v>0</v>
      </c>
      <c r="W97" s="57" t="n">
        <f aca="false">IF(W5&lt;Inputs!$C$88,W89,IF(W5=Inputs!$C$88,W89+$D$120,0))</f>
        <v>0</v>
      </c>
      <c r="X97" s="57" t="n">
        <f aca="false">IF(X5&lt;Inputs!$C$88,X89,IF(X5=Inputs!$C$88,X89+$D$120,0))</f>
        <v>0</v>
      </c>
      <c r="Y97" s="57" t="n">
        <f aca="false">IF(Y5&lt;Inputs!$C$88,Y89,IF(Y5=Inputs!$C$88,Y89+$D$120,0))</f>
        <v>0</v>
      </c>
      <c r="Z97" s="57" t="n">
        <f aca="false">IF(Z5&lt;Inputs!$C$88,Z89,IF(Z5=Inputs!$C$88,Z89+$D$120,0))</f>
        <v>0</v>
      </c>
      <c r="AA97" s="57" t="n">
        <f aca="false">IF(AA5&lt;Inputs!$C$88,AA89,IF(AA5=Inputs!$C$88,AA89+$D$120,0))</f>
        <v>0</v>
      </c>
      <c r="AB97" s="57" t="n">
        <f aca="false">IF(AB5&lt;Inputs!$C$88,AB89,IF(AB5=Inputs!$C$88,AB89+$D$120,0))</f>
        <v>0</v>
      </c>
      <c r="AC97" s="57" t="n">
        <f aca="false">IF(AC5&lt;Inputs!$C$88,AC89,IF(AC5=Inputs!$C$88,AC89+$D$120,0))</f>
        <v>0</v>
      </c>
      <c r="AD97" s="57" t="n">
        <f aca="false">IF(AD5&lt;Inputs!$C$88,AD89,IF(AD5=Inputs!$C$88,AD89+$D$120,0))</f>
        <v>0</v>
      </c>
      <c r="AE97" s="57" t="n">
        <f aca="false">IF(AE5&lt;Inputs!$C$88,AE89,IF(AE5=Inputs!$C$88,AE89+$D$120,0))</f>
        <v>0</v>
      </c>
      <c r="AF97" s="57" t="n">
        <f aca="false">IF(AF5&lt;Inputs!$C$88,AF89,IF(AF5=Inputs!$C$88,AF89+$D$120,0))</f>
        <v>0</v>
      </c>
      <c r="AG97" s="57" t="n">
        <f aca="false">IF(AG5&lt;Inputs!$C$88,AG89,IF(AG5=Inputs!$C$88,AG89+$D$120,0))</f>
        <v>0</v>
      </c>
      <c r="AH97" s="57" t="n">
        <f aca="false">IF(AH5&lt;Inputs!$C$88,AH89,IF(AH5=Inputs!$C$88,AH89+$D$120,0))</f>
        <v>0</v>
      </c>
    </row>
    <row r="98" customFormat="false" ht="15" hidden="false" customHeight="true" outlineLevel="0" collapsed="false">
      <c r="B98" s="21" t="s">
        <v>868</v>
      </c>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row>
    <row r="99" customFormat="false" ht="15" hidden="false" customHeight="true" outlineLevel="0" collapsed="false">
      <c r="B99" s="4" t="s">
        <v>869</v>
      </c>
      <c r="D99" s="59" t="n">
        <f aca="false">SUM(E99:AH99)</f>
        <v>0</v>
      </c>
      <c r="E99" s="57" t="n">
        <f aca="false">IF(E5&gt;Inputs!$C$96,E88*(E50+E78),0)</f>
        <v>0</v>
      </c>
      <c r="F99" s="57" t="n">
        <f aca="false">IF(F5&gt;Inputs!$C$96,F88*(F50+F78),0)</f>
        <v>0</v>
      </c>
      <c r="G99" s="57" t="n">
        <f aca="false">IF(G5&gt;Inputs!$C$96,G88*(G50+G78),0)</f>
        <v>0</v>
      </c>
      <c r="H99" s="57" t="n">
        <f aca="false">IF(H5&gt;Inputs!$C$96,H88*(H50+H78),0)</f>
        <v>0</v>
      </c>
      <c r="I99" s="57" t="n">
        <f aca="false">IF(I5&gt;Inputs!$C$96,I88*(I50+I78),0)</f>
        <v>0</v>
      </c>
      <c r="J99" s="57" t="n">
        <f aca="false">IF(J5&gt;Inputs!$C$96,J88*(J50+J78),0)</f>
        <v>0</v>
      </c>
      <c r="K99" s="57" t="n">
        <f aca="false">IF(K5&gt;Inputs!$C$96,K88*(K50+K78),0)</f>
        <v>0</v>
      </c>
      <c r="L99" s="57" t="n">
        <f aca="false">IF(L5&gt;Inputs!$C$96,L88*(L50+L78),0)</f>
        <v>0</v>
      </c>
      <c r="M99" s="57" t="n">
        <f aca="false">IF(M5&gt;Inputs!$C$96,M88*(M50+M78),0)</f>
        <v>0</v>
      </c>
      <c r="N99" s="57" t="n">
        <f aca="false">IF(N5&gt;Inputs!$C$96,N88*(N50+N78),0)</f>
        <v>0</v>
      </c>
      <c r="O99" s="57" t="n">
        <f aca="false">IF(O5&gt;Inputs!$C$96,O88*(O50+O78),0)</f>
        <v>0</v>
      </c>
      <c r="P99" s="57" t="n">
        <f aca="false">IF(P5&gt;Inputs!$C$96,P88*(P50+P78),0)</f>
        <v>0</v>
      </c>
      <c r="Q99" s="57" t="n">
        <f aca="false">IF(Q5&gt;Inputs!$C$96,Q88*(Q50+Q78),0)</f>
        <v>0</v>
      </c>
      <c r="R99" s="57" t="n">
        <f aca="false">IF(R5&gt;Inputs!$C$96,R88*(R50+R78),0)</f>
        <v>0</v>
      </c>
      <c r="S99" s="57" t="n">
        <f aca="false">IF(S5&gt;Inputs!$C$96,S88*(S50+S78),0)</f>
        <v>0</v>
      </c>
      <c r="T99" s="57" t="n">
        <f aca="false">IF(T5&gt;Inputs!$C$96,T88*(T50+T78),0)</f>
        <v>0</v>
      </c>
      <c r="U99" s="57" t="n">
        <f aca="false">IF(U5&gt;Inputs!$C$96,U88*(U50+U78),0)</f>
        <v>0</v>
      </c>
      <c r="V99" s="57" t="n">
        <f aca="false">IF(V5&gt;Inputs!$C$96,V88*(V50+V78),0)</f>
        <v>0</v>
      </c>
      <c r="W99" s="57" t="n">
        <f aca="false">IF(W5&gt;Inputs!$C$96,W88*(W50+W78),0)</f>
        <v>0</v>
      </c>
      <c r="X99" s="57" t="n">
        <f aca="false">IF(X5&gt;Inputs!$C$96,X88*(X50+X78),0)</f>
        <v>0</v>
      </c>
      <c r="Y99" s="57" t="n">
        <f aca="false">IF(Y5&gt;Inputs!$C$96,Y88*(Y50+Y78),0)</f>
        <v>0</v>
      </c>
      <c r="Z99" s="57" t="n">
        <f aca="false">IF(Z5&gt;Inputs!$C$96,Z88*(Z50+Z78),0)</f>
        <v>0</v>
      </c>
      <c r="AA99" s="57" t="n">
        <f aca="false">IF(AA5&gt;Inputs!$C$96,AA88*(AA50+AA78),0)</f>
        <v>0</v>
      </c>
      <c r="AB99" s="57" t="n">
        <f aca="false">IF(AB5&gt;Inputs!$C$96,AB88*(AB50+AB78),0)</f>
        <v>0</v>
      </c>
      <c r="AC99" s="57" t="n">
        <f aca="false">IF(AC5&gt;Inputs!$C$96,AC88*(AC50+AC78),0)</f>
        <v>0</v>
      </c>
      <c r="AD99" s="57" t="n">
        <f aca="false">IF(AD5&gt;Inputs!$C$96,AD88*(AD50+AD78),0)</f>
        <v>0</v>
      </c>
      <c r="AE99" s="57" t="n">
        <f aca="false">IF(AE5&gt;Inputs!$C$96,AE88*(AE50+AE78),0)</f>
        <v>0</v>
      </c>
      <c r="AF99" s="57" t="n">
        <f aca="false">IF(AF5&gt;Inputs!$C$96,AF88*(AF50+AF78),0)</f>
        <v>0</v>
      </c>
      <c r="AG99" s="57" t="n">
        <f aca="false">IF(AG5&gt;Inputs!$C$96,AG88*(AG50+AG78),0)</f>
        <v>0</v>
      </c>
      <c r="AH99" s="57" t="n">
        <f aca="false">IF(AH5&gt;Inputs!$C$96,AH88*(AH50+AH78),0)</f>
        <v>0</v>
      </c>
    </row>
    <row r="100" customFormat="false" ht="15" hidden="false" customHeight="true" outlineLevel="0" collapsed="false">
      <c r="B100" s="4" t="s">
        <v>866</v>
      </c>
      <c r="E100" s="64" t="n">
        <f aca="false">IF(E5&gt;Inputs!$C$96,1/(1+Inputs!$C$89)^(E5-Inputs!$C$96),0)</f>
        <v>0</v>
      </c>
      <c r="F100" s="64" t="n">
        <f aca="false">IF(F5&gt;Inputs!$C$96,1/(1+Inputs!$C$89)^(F5-Inputs!$C$96),0)</f>
        <v>0</v>
      </c>
      <c r="G100" s="64" t="n">
        <f aca="false">IF(G5&gt;Inputs!$C$96,1/(1+Inputs!$C$89)^(G5-Inputs!$C$96),0)</f>
        <v>0</v>
      </c>
      <c r="H100" s="64" t="n">
        <f aca="false">IF(H5&gt;Inputs!$C$96,1/(1+Inputs!$C$89)^(H5-Inputs!$C$96),0)</f>
        <v>0</v>
      </c>
      <c r="I100" s="64" t="n">
        <f aca="false">IF(I5&gt;Inputs!$C$96,1/(1+Inputs!$C$89)^(I5-Inputs!$C$96),0)</f>
        <v>0</v>
      </c>
      <c r="J100" s="64" t="n">
        <f aca="false">IF(J5&gt;Inputs!$C$96,1/(1+Inputs!$C$89)^(J5-Inputs!$C$96),0)</f>
        <v>0</v>
      </c>
      <c r="K100" s="64" t="n">
        <f aca="false">IF(K5&gt;Inputs!$C$96,1/(1+Inputs!$C$89)^(K5-Inputs!$C$96),0)</f>
        <v>0</v>
      </c>
      <c r="L100" s="64" t="n">
        <f aca="false">IF(L5&gt;Inputs!$C$96,1/(1+Inputs!$C$89)^(L5-Inputs!$C$96),0)</f>
        <v>0.884955752212389</v>
      </c>
      <c r="M100" s="64" t="n">
        <f aca="false">IF(M5&gt;Inputs!$C$96,1/(1+Inputs!$C$89)^(M5-Inputs!$C$96),0)</f>
        <v>0.783146683373796</v>
      </c>
      <c r="N100" s="64" t="n">
        <f aca="false">IF(N5&gt;Inputs!$C$96,1/(1+Inputs!$C$89)^(N5-Inputs!$C$96),0)</f>
        <v>0.693050162277696</v>
      </c>
      <c r="O100" s="64" t="n">
        <f aca="false">IF(O5&gt;Inputs!$C$96,1/(1+Inputs!$C$89)^(O5-Inputs!$C$96),0)</f>
        <v>0.613318727679377</v>
      </c>
      <c r="P100" s="64" t="n">
        <f aca="false">IF(P5&gt;Inputs!$C$96,1/(1+Inputs!$C$89)^(P5-Inputs!$C$96),0)</f>
        <v>0.542759935999449</v>
      </c>
      <c r="Q100" s="64" t="n">
        <f aca="false">IF(Q5&gt;Inputs!$C$96,1/(1+Inputs!$C$89)^(Q5-Inputs!$C$96),0)</f>
        <v>0.48031852743314</v>
      </c>
      <c r="R100" s="64" t="n">
        <f aca="false">IF(R5&gt;Inputs!$C$96,1/(1+Inputs!$C$89)^(R5-Inputs!$C$96),0)</f>
        <v>0.425060643746142</v>
      </c>
      <c r="S100" s="64" t="n">
        <f aca="false">IF(S5&gt;Inputs!$C$96,1/(1+Inputs!$C$89)^(S5-Inputs!$C$96),0)</f>
        <v>0.37615986172225</v>
      </c>
      <c r="T100" s="64" t="n">
        <f aca="false">IF(T5&gt;Inputs!$C$96,1/(1+Inputs!$C$89)^(T5-Inputs!$C$96),0)</f>
        <v>0.332884833382522</v>
      </c>
      <c r="U100" s="64" t="n">
        <f aca="false">IF(U5&gt;Inputs!$C$96,1/(1+Inputs!$C$89)^(U5-Inputs!$C$96),0)</f>
        <v>0.294588348126126</v>
      </c>
      <c r="V100" s="64" t="n">
        <f aca="false">IF(V5&gt;Inputs!$C$96,1/(1+Inputs!$C$89)^(V5-Inputs!$C$96),0)</f>
        <v>0.260697653208961</v>
      </c>
      <c r="W100" s="64" t="n">
        <f aca="false">IF(W5&gt;Inputs!$C$96,1/(1+Inputs!$C$89)^(W5-Inputs!$C$96),0)</f>
        <v>0.23070588779554</v>
      </c>
      <c r="X100" s="64" t="n">
        <f aca="false">IF(X5&gt;Inputs!$C$96,1/(1+Inputs!$C$89)^(X5-Inputs!$C$96),0)</f>
        <v>0.20416450247393</v>
      </c>
      <c r="Y100" s="64" t="n">
        <f aca="false">IF(Y5&gt;Inputs!$C$96,1/(1+Inputs!$C$89)^(Y5-Inputs!$C$96),0)</f>
        <v>0.180676550861885</v>
      </c>
      <c r="Z100" s="64" t="n">
        <f aca="false">IF(Z5&gt;Inputs!$C$96,1/(1+Inputs!$C$89)^(Z5-Inputs!$C$96),0)</f>
        <v>0.159890752975119</v>
      </c>
      <c r="AA100" s="64" t="n">
        <f aca="false">IF(AA5&gt;Inputs!$C$96,1/(1+Inputs!$C$89)^(AA5-Inputs!$C$96),0)</f>
        <v>0.141496241570902</v>
      </c>
      <c r="AB100" s="64" t="n">
        <f aca="false">IF(AB5&gt;Inputs!$C$96,1/(1+Inputs!$C$89)^(AB5-Inputs!$C$96),0)</f>
        <v>0.125217912894603</v>
      </c>
      <c r="AC100" s="64" t="n">
        <f aca="false">IF(AC5&gt;Inputs!$C$96,1/(1+Inputs!$C$89)^(AC5-Inputs!$C$96),0)</f>
        <v>0.110812312296109</v>
      </c>
      <c r="AD100" s="64" t="n">
        <f aca="false">IF(AD5&gt;Inputs!$C$96,1/(1+Inputs!$C$89)^(AD5-Inputs!$C$96),0)</f>
        <v>0.0980639931823976</v>
      </c>
      <c r="AE100" s="64" t="n">
        <f aca="false">IF(AE5&gt;Inputs!$C$96,1/(1+Inputs!$C$89)^(AE5-Inputs!$C$96),0)</f>
        <v>0.0867822948516793</v>
      </c>
      <c r="AF100" s="64" t="n">
        <f aca="false">IF(AF5&gt;Inputs!$C$96,1/(1+Inputs!$C$89)^(AF5-Inputs!$C$96),0)</f>
        <v>0.0767984910191852</v>
      </c>
      <c r="AG100" s="64" t="n">
        <f aca="false">IF(AG5&gt;Inputs!$C$96,1/(1+Inputs!$C$89)^(AG5-Inputs!$C$96),0)</f>
        <v>0.0679632663886595</v>
      </c>
      <c r="AH100" s="64" t="n">
        <f aca="false">IF(AH5&gt;Inputs!$C$96,1/(1+Inputs!$C$89)^(AH5-Inputs!$C$96),0)</f>
        <v>0.0601444835297872</v>
      </c>
    </row>
    <row r="101" customFormat="false" ht="15" hidden="false" customHeight="true" outlineLevel="0" collapsed="false">
      <c r="B101" s="4" t="s">
        <v>870</v>
      </c>
      <c r="D101" s="59" t="n">
        <f aca="false">SUM(E101:AH101)</f>
        <v>0</v>
      </c>
      <c r="E101" s="57" t="n">
        <f aca="false">IF(E5&lt;Inputs!$C$96,E91,IF(E5=Inputs!$C$96,E91+$D$128,0))</f>
        <v>0</v>
      </c>
      <c r="F101" s="57" t="n">
        <f aca="false">IF(F5&lt;Inputs!$C$96,F91,IF(F5=Inputs!$C$96,F91+$D$128,0))</f>
        <v>0</v>
      </c>
      <c r="G101" s="57" t="n">
        <f aca="false">IF(G5&lt;Inputs!$C$96,G91,IF(G5=Inputs!$C$96,G91+$D$128,0))</f>
        <v>0</v>
      </c>
      <c r="H101" s="57" t="n">
        <f aca="false">IF(H5&lt;Inputs!$C$96,H91,IF(H5=Inputs!$C$96,H91+$D$128,0))</f>
        <v>0</v>
      </c>
      <c r="I101" s="57" t="n">
        <f aca="false">IF(I5&lt;Inputs!$C$96,I91,IF(I5=Inputs!$C$96,I91+$D$128,0))</f>
        <v>0</v>
      </c>
      <c r="J101" s="57" t="n">
        <f aca="false">IF(J5&lt;Inputs!$C$96,J91,IF(J5=Inputs!$C$96,J91+$D$128,0))</f>
        <v>0</v>
      </c>
      <c r="K101" s="57" t="n">
        <f aca="false">IF(K5&lt;Inputs!$C$96,K91,IF(K5=Inputs!$C$96,K91+$D$128,0))</f>
        <v>0</v>
      </c>
      <c r="L101" s="57" t="n">
        <f aca="false">IF(L5&lt;Inputs!$C$96,L91,IF(L5=Inputs!$C$96,L91+$D$128,0))</f>
        <v>0</v>
      </c>
      <c r="M101" s="57" t="n">
        <f aca="false">IF(M5&lt;Inputs!$C$96,M91,IF(M5=Inputs!$C$96,M91+$D$128,0))</f>
        <v>0</v>
      </c>
      <c r="N101" s="57" t="n">
        <f aca="false">IF(N5&lt;Inputs!$C$96,N91,IF(N5=Inputs!$C$96,N91+$D$128,0))</f>
        <v>0</v>
      </c>
      <c r="O101" s="57" t="n">
        <f aca="false">IF(O5&lt;Inputs!$C$96,O91,IF(O5=Inputs!$C$96,O91+$D$128,0))</f>
        <v>0</v>
      </c>
      <c r="P101" s="57" t="n">
        <f aca="false">IF(P5&lt;Inputs!$C$96,P91,IF(P5=Inputs!$C$96,P91+$D$128,0))</f>
        <v>0</v>
      </c>
      <c r="Q101" s="57" t="n">
        <f aca="false">IF(Q5&lt;Inputs!$C$96,Q91,IF(Q5=Inputs!$C$96,Q91+$D$128,0))</f>
        <v>0</v>
      </c>
      <c r="R101" s="57" t="n">
        <f aca="false">IF(R5&lt;Inputs!$C$96,R91,IF(R5=Inputs!$C$96,R91+$D$128,0))</f>
        <v>0</v>
      </c>
      <c r="S101" s="57" t="n">
        <f aca="false">IF(S5&lt;Inputs!$C$96,S91,IF(S5=Inputs!$C$96,S91+$D$128,0))</f>
        <v>0</v>
      </c>
      <c r="T101" s="57" t="n">
        <f aca="false">IF(T5&lt;Inputs!$C$96,T91,IF(T5=Inputs!$C$96,T91+$D$128,0))</f>
        <v>0</v>
      </c>
      <c r="U101" s="57" t="n">
        <f aca="false">IF(U5&lt;Inputs!$C$96,U91,IF(U5=Inputs!$C$96,U91+$D$128,0))</f>
        <v>0</v>
      </c>
      <c r="V101" s="57" t="n">
        <f aca="false">IF(V5&lt;Inputs!$C$96,V91,IF(V5=Inputs!$C$96,V91+$D$128,0))</f>
        <v>0</v>
      </c>
      <c r="W101" s="57" t="n">
        <f aca="false">IF(W5&lt;Inputs!$C$96,W91,IF(W5=Inputs!$C$96,W91+$D$128,0))</f>
        <v>0</v>
      </c>
      <c r="X101" s="57" t="n">
        <f aca="false">IF(X5&lt;Inputs!$C$96,X91,IF(X5=Inputs!$C$96,X91+$D$128,0))</f>
        <v>0</v>
      </c>
      <c r="Y101" s="57" t="n">
        <f aca="false">IF(Y5&lt;Inputs!$C$96,Y91,IF(Y5=Inputs!$C$96,Y91+$D$128,0))</f>
        <v>0</v>
      </c>
      <c r="Z101" s="57" t="n">
        <f aca="false">IF(Z5&lt;Inputs!$C$96,Z91,IF(Z5=Inputs!$C$96,Z91+$D$128,0))</f>
        <v>0</v>
      </c>
      <c r="AA101" s="57" t="n">
        <f aca="false">IF(AA5&lt;Inputs!$C$96,AA91,IF(AA5=Inputs!$C$96,AA91+$D$128,0))</f>
        <v>0</v>
      </c>
      <c r="AB101" s="57" t="n">
        <f aca="false">IF(AB5&lt;Inputs!$C$96,AB91,IF(AB5=Inputs!$C$96,AB91+$D$128,0))</f>
        <v>0</v>
      </c>
      <c r="AC101" s="57" t="n">
        <f aca="false">IF(AC5&lt;Inputs!$C$96,AC91,IF(AC5=Inputs!$C$96,AC91+$D$128,0))</f>
        <v>0</v>
      </c>
      <c r="AD101" s="57" t="n">
        <f aca="false">IF(AD5&lt;Inputs!$C$96,AD91,IF(AD5=Inputs!$C$96,AD91+$D$128,0))</f>
        <v>0</v>
      </c>
      <c r="AE101" s="57" t="n">
        <f aca="false">IF(AE5&lt;Inputs!$C$96,AE91,IF(AE5=Inputs!$C$96,AE91+$D$128,0))</f>
        <v>0</v>
      </c>
      <c r="AF101" s="57" t="n">
        <f aca="false">IF(AF5&lt;Inputs!$C$96,AF91,IF(AF5=Inputs!$C$96,AF91+$D$128,0))</f>
        <v>0</v>
      </c>
      <c r="AG101" s="57" t="n">
        <f aca="false">IF(AG5&lt;Inputs!$C$96,AG91,IF(AG5=Inputs!$C$96,AG91+$D$128,0))</f>
        <v>0</v>
      </c>
      <c r="AH101" s="57" t="n">
        <f aca="false">IF(AH5&lt;Inputs!$C$96,AH91,IF(AH5=Inputs!$C$96,AH91+$D$128,0))</f>
        <v>0</v>
      </c>
    </row>
    <row r="102" customFormat="false" ht="15" hidden="false" customHeight="true" outlineLevel="0" collapsed="false">
      <c r="B102" s="4" t="s">
        <v>871</v>
      </c>
      <c r="E102" s="57" t="n">
        <f aca="false">E59</f>
        <v>0</v>
      </c>
      <c r="F102" s="57" t="n">
        <f aca="false">E102+F59</f>
        <v>0.232306527305933</v>
      </c>
      <c r="G102" s="57" t="n">
        <f aca="false">F102+G59</f>
        <v>0.232306527305933</v>
      </c>
      <c r="H102" s="57" t="n">
        <f aca="false">G102+H59</f>
        <v>0.232306527305933</v>
      </c>
      <c r="I102" s="57" t="n">
        <f aca="false">H102+I59</f>
        <v>0.232306527305933</v>
      </c>
      <c r="J102" s="57" t="n">
        <f aca="false">I102+J59</f>
        <v>0.232306527305933</v>
      </c>
      <c r="K102" s="57" t="n">
        <f aca="false">J102+K59</f>
        <v>0.232306527305933</v>
      </c>
      <c r="L102" s="57" t="n">
        <f aca="false">K102+L59</f>
        <v>0.232306527305933</v>
      </c>
      <c r="M102" s="57" t="n">
        <f aca="false">L102+M59</f>
        <v>0.232306527305933</v>
      </c>
      <c r="N102" s="57" t="n">
        <f aca="false">M102+N59</f>
        <v>0.232306527305933</v>
      </c>
      <c r="O102" s="57" t="n">
        <f aca="false">N102+O59</f>
        <v>0.232306527305933</v>
      </c>
      <c r="P102" s="57" t="n">
        <f aca="false">O102+P59</f>
        <v>0.232306527305933</v>
      </c>
      <c r="Q102" s="57" t="n">
        <f aca="false">P102+Q59</f>
        <v>0.232306527305933</v>
      </c>
      <c r="R102" s="57" t="n">
        <f aca="false">Q102+R59</f>
        <v>0.232306527305933</v>
      </c>
      <c r="S102" s="57" t="n">
        <f aca="false">R102+S59</f>
        <v>0.232306527305933</v>
      </c>
      <c r="T102" s="57" t="n">
        <f aca="false">S102+T59</f>
        <v>0.232306527305933</v>
      </c>
      <c r="U102" s="57" t="n">
        <f aca="false">T102+U59</f>
        <v>0.232306527305933</v>
      </c>
      <c r="V102" s="57" t="n">
        <f aca="false">U102+V59</f>
        <v>0.232306527305933</v>
      </c>
      <c r="W102" s="57" t="n">
        <f aca="false">V102+W59</f>
        <v>0.232306527305933</v>
      </c>
      <c r="X102" s="57" t="n">
        <f aca="false">W102+X59</f>
        <v>0.232306527305933</v>
      </c>
      <c r="Y102" s="57" t="n">
        <f aca="false">X102+Y59</f>
        <v>0.232306527305933</v>
      </c>
      <c r="Z102" s="57" t="n">
        <f aca="false">Y102+Z59</f>
        <v>0.232306527305933</v>
      </c>
      <c r="AA102" s="57" t="n">
        <f aca="false">Z102+AA59</f>
        <v>0.232306527305933</v>
      </c>
      <c r="AB102" s="57" t="n">
        <f aca="false">AA102+AB59</f>
        <v>0.232306527305933</v>
      </c>
      <c r="AC102" s="57" t="n">
        <f aca="false">AB102+AC59</f>
        <v>0.232306527305933</v>
      </c>
      <c r="AD102" s="57" t="n">
        <f aca="false">AC102+AD59</f>
        <v>0.232306527305933</v>
      </c>
      <c r="AE102" s="57" t="n">
        <f aca="false">AD102+AE59</f>
        <v>0.232306527305933</v>
      </c>
      <c r="AF102" s="57" t="n">
        <f aca="false">AE102+AF59</f>
        <v>0.232306527305933</v>
      </c>
      <c r="AG102" s="57" t="n">
        <f aca="false">AF102+AG59</f>
        <v>0.232306527305933</v>
      </c>
      <c r="AH102" s="57" t="n">
        <f aca="false">AG102+AH59</f>
        <v>0.232306527305933</v>
      </c>
    </row>
    <row r="104" customFormat="false" ht="15" hidden="false" customHeight="true" outlineLevel="0" collapsed="false">
      <c r="B104" s="21" t="s">
        <v>872</v>
      </c>
      <c r="C104" s="34"/>
      <c r="D104" s="34"/>
    </row>
    <row r="105" customFormat="false" ht="15" hidden="false" customHeight="true" outlineLevel="0" collapsed="false">
      <c r="B105" s="40" t="s">
        <v>873</v>
      </c>
      <c r="D105" s="59" t="n">
        <f aca="false">D40+D66</f>
        <v>114.177379984945</v>
      </c>
    </row>
    <row r="106" customFormat="false" ht="15" hidden="false" customHeight="true" outlineLevel="0" collapsed="false">
      <c r="B106" s="40" t="s">
        <v>874</v>
      </c>
      <c r="D106" s="59" t="n">
        <f aca="false">D29</f>
        <v>10</v>
      </c>
    </row>
    <row r="107" customFormat="false" ht="15" hidden="false" customHeight="true" outlineLevel="0" collapsed="false">
      <c r="B107" s="40" t="s">
        <v>51</v>
      </c>
      <c r="D107" s="47" t="n">
        <f aca="false">IF(D105+D106*Inputs!$C$78+D123=0,0,D105/(D105+D106*Inputs!$C$78+D123))</f>
        <v>0.878440387074812</v>
      </c>
    </row>
    <row r="108" customFormat="false" ht="15" hidden="false" customHeight="true" outlineLevel="0" collapsed="false">
      <c r="B108" s="40" t="s">
        <v>52</v>
      </c>
      <c r="D108" s="47" t="n">
        <f aca="false">1-D107-D124</f>
        <v>0.121559612925188</v>
      </c>
    </row>
    <row r="109" customFormat="false" ht="15" hidden="false" customHeight="true" outlineLevel="0" collapsed="false">
      <c r="B109" s="40" t="s">
        <v>875</v>
      </c>
      <c r="D109" s="47" t="n">
        <f aca="false">D106/(D105+D106+D68)</f>
        <v>0.0805299644847747</v>
      </c>
    </row>
    <row r="110" customFormat="false" ht="15" hidden="false" customHeight="true" outlineLevel="0" collapsed="false">
      <c r="B110" s="40" t="s">
        <v>876</v>
      </c>
      <c r="D110" s="47" t="n">
        <f aca="false">IRR(E89:AH89)</f>
        <v>0.145377670901501</v>
      </c>
    </row>
    <row r="111" customFormat="false" ht="15" hidden="false" customHeight="true" outlineLevel="0" collapsed="false">
      <c r="B111" s="40" t="s">
        <v>55</v>
      </c>
      <c r="D111" s="44" t="n">
        <f aca="false">(D80+D83)/D79</f>
        <v>5.06408918579089</v>
      </c>
    </row>
    <row r="112" customFormat="false" ht="15" hidden="false" customHeight="true" outlineLevel="0" collapsed="false">
      <c r="B112" s="40" t="s">
        <v>877</v>
      </c>
      <c r="D112" s="59" t="n">
        <f aca="false">E89+NPV(Inputs!$C$86,F89:AH89)</f>
        <v>-2.48591976390994</v>
      </c>
    </row>
    <row r="113" customFormat="false" ht="15" hidden="false" customHeight="true" outlineLevel="0" collapsed="false">
      <c r="B113" s="40" t="s">
        <v>56</v>
      </c>
      <c r="D113" s="47" t="n">
        <f aca="false">IRR(E90:AH90)</f>
        <v>0.0944674134751762</v>
      </c>
    </row>
    <row r="114" customFormat="false" ht="15" hidden="false" customHeight="true" outlineLevel="0" collapsed="false">
      <c r="B114" s="40" t="s">
        <v>57</v>
      </c>
      <c r="D114" s="44" t="n">
        <f aca="false">D84/D29</f>
        <v>4.97798341831496</v>
      </c>
    </row>
    <row r="115" customFormat="false" ht="15" hidden="false" customHeight="true" outlineLevel="0" collapsed="false">
      <c r="B115" s="40" t="s">
        <v>878</v>
      </c>
      <c r="D115" s="47" t="n">
        <f aca="false">IRR(E93:AH93)</f>
        <v>0.137776982206522</v>
      </c>
    </row>
    <row r="116" customFormat="false" ht="15" hidden="false" customHeight="true" outlineLevel="0" collapsed="false">
      <c r="B116" s="40" t="s">
        <v>879</v>
      </c>
      <c r="D116" s="59" t="n">
        <f aca="false">SUMPRODUCT(E95:AH95,E96:AH96)</f>
        <v>129.777476132211</v>
      </c>
    </row>
    <row r="117" customFormat="false" ht="15" hidden="false" customHeight="true" outlineLevel="0" collapsed="false">
      <c r="B117" s="40" t="s">
        <v>880</v>
      </c>
      <c r="D117" s="59" t="n">
        <f aca="false">D116*Inputs!$C$90</f>
        <v>2.59554952264423</v>
      </c>
    </row>
    <row r="118" customFormat="false" ht="15" hidden="false" customHeight="true" outlineLevel="0" collapsed="false">
      <c r="B118" s="40" t="s">
        <v>881</v>
      </c>
      <c r="D118" s="59" t="n">
        <f aca="false">SUMIF(E5:AH5,"&lt;="&amp;Inputs!$C$88,E79:AH79)+SUMIF(E5:AH5,"&lt;="&amp;Inputs!$C$88,E87:AH87)</f>
        <v>90.1266594191822</v>
      </c>
    </row>
    <row r="119" customFormat="false" ht="15" hidden="false" customHeight="true" outlineLevel="0" collapsed="false">
      <c r="B119" s="40" t="s">
        <v>882</v>
      </c>
      <c r="D119" s="59" t="n">
        <f aca="false">MAX(0,D116-D117-D118)*IF(Inputs!$C$88&lt;Inputs!$C$82,Inputs!$C$79*Inputs!$C$111+(1-Inputs!$C$79)*Inputs!$C$91,Inputs!$C$91)</f>
        <v>8.6219454593244</v>
      </c>
    </row>
    <row r="120" customFormat="false" ht="15" hidden="false" customHeight="true" outlineLevel="0" collapsed="false">
      <c r="B120" s="40" t="s">
        <v>883</v>
      </c>
      <c r="D120" s="59" t="n">
        <f aca="false">D116-D117-D119</f>
        <v>118.559981150243</v>
      </c>
    </row>
    <row r="121" customFormat="false" ht="15" hidden="false" customHeight="true" outlineLevel="0" collapsed="false">
      <c r="B121" s="40" t="s">
        <v>884</v>
      </c>
      <c r="D121" s="47" t="n">
        <f aca="false">IRR(E97:AH97)</f>
        <v>0.14808974921077</v>
      </c>
    </row>
    <row r="122" customFormat="false" ht="15" hidden="false" customHeight="true" outlineLevel="0" collapsed="false">
      <c r="B122" s="40" t="s">
        <v>885</v>
      </c>
      <c r="D122" s="44" t="n">
        <f aca="false">SUMIF(E97:AH97,"&gt;0")/-SUMIF(E97:AH97,"&lt;0")</f>
        <v>1.82740473739198</v>
      </c>
    </row>
    <row r="123" customFormat="false" ht="15" hidden="false" customHeight="true" outlineLevel="0" collapsed="false">
      <c r="B123" s="40" t="s">
        <v>886</v>
      </c>
      <c r="D123" s="59" t="n">
        <f aca="false">D68*Inputs!$C$95</f>
        <v>0</v>
      </c>
    </row>
    <row r="124" customFormat="false" ht="15" hidden="false" customHeight="true" outlineLevel="0" collapsed="false">
      <c r="B124" s="40" t="s">
        <v>77</v>
      </c>
      <c r="D124" s="47" t="n">
        <f aca="false">IF(D105+D106*Inputs!$C$78+D123=0,0,D123/(D105+D106*Inputs!$C$78+D123))</f>
        <v>0</v>
      </c>
    </row>
    <row r="125" customFormat="false" ht="15" hidden="false" customHeight="true" outlineLevel="0" collapsed="false">
      <c r="B125" s="40" t="s">
        <v>887</v>
      </c>
      <c r="D125" s="47" t="n">
        <f aca="false">IF(1-D124=0,0,D107/(1-D124))</f>
        <v>0.878440387074812</v>
      </c>
    </row>
    <row r="126" customFormat="false" ht="15" hidden="false" customHeight="true" outlineLevel="0" collapsed="false">
      <c r="B126" s="40" t="s">
        <v>78</v>
      </c>
      <c r="D126" s="47" t="n">
        <f aca="false">IF(D32=0,0,IRR(E91:AH91))</f>
        <v>0</v>
      </c>
    </row>
    <row r="127" customFormat="false" ht="15" hidden="false" customHeight="true" outlineLevel="0" collapsed="false">
      <c r="B127" s="40" t="s">
        <v>888</v>
      </c>
      <c r="D127" s="59" t="n">
        <f aca="false">SUMPRODUCT(E99:AH99,E100:AH100)</f>
        <v>0</v>
      </c>
    </row>
    <row r="128" customFormat="false" ht="15" hidden="false" customHeight="true" outlineLevel="0" collapsed="false">
      <c r="B128" s="40" t="s">
        <v>889</v>
      </c>
      <c r="D128" s="59" t="n">
        <f aca="false">D127*(1-Inputs!$C$90)-MAX(0,D127*(1-Inputs!$C$90)-SUMIF(E5:AH5,"&lt;="&amp;Inputs!$C$96,E32:AH32))*IF(Inputs!$C$96&lt;Inputs!$C$97,Inputs!$C$101,Inputs!$C$91)</f>
        <v>0</v>
      </c>
    </row>
    <row r="129" customFormat="false" ht="15" hidden="false" customHeight="true" outlineLevel="0" collapsed="false">
      <c r="B129" s="40" t="s">
        <v>890</v>
      </c>
      <c r="D129" s="47" t="n">
        <f aca="false">IF(D32=0,0,IRR(E101:AH101))</f>
        <v>0</v>
      </c>
    </row>
    <row r="130" customFormat="false" ht="15" hidden="false" customHeight="true" outlineLevel="0" collapsed="false">
      <c r="B130" s="40" t="s">
        <v>891</v>
      </c>
      <c r="D130" s="44" t="n">
        <f aca="false">IF(D32=0,0,(D50+D78)/D32)</f>
        <v>0</v>
      </c>
    </row>
    <row r="131" customFormat="false" ht="15" hidden="false" customHeight="true" outlineLevel="0" collapsed="false">
      <c r="B131" s="40" t="s">
        <v>892</v>
      </c>
      <c r="D131" s="44" t="n">
        <f aca="false">IF(D32=0,0,SUMIF(E101:AH101,"&gt;0")/-SUMIF(E101:AH101,"&lt;0"))</f>
        <v>0</v>
      </c>
    </row>
    <row r="132" customFormat="false" ht="15" hidden="false" customHeight="true" outlineLevel="0" collapsed="false">
      <c r="B132" s="40" t="s">
        <v>73</v>
      </c>
      <c r="D132" s="59" t="n">
        <f aca="false">D32*Inputs!$C$95+D32*Inputs!$C$94*Inputs!$C$112/12</f>
        <v>0</v>
      </c>
    </row>
    <row r="133" customFormat="false" ht="15" hidden="false" customHeight="true" outlineLevel="0" collapsed="false">
      <c r="B133" s="40" t="s">
        <v>893</v>
      </c>
      <c r="D133" s="47" t="n">
        <f aca="false">IF(D32=0,0,(D132/D32)^(12/Inputs!$C$112)-1)</f>
        <v>0</v>
      </c>
    </row>
    <row r="134" customFormat="false" ht="15" hidden="false" customHeight="true" outlineLevel="0" collapsed="false">
      <c r="B134" s="40" t="s">
        <v>894</v>
      </c>
      <c r="D134" s="47" t="n">
        <f aca="false">IF(D32=0,0,((D132-(D132-D32)*Inputs!$C$101)/D32)^(12/Inputs!$C$112)-1)</f>
        <v>0</v>
      </c>
    </row>
    <row r="135" customFormat="false" ht="15" hidden="false" customHeight="true" outlineLevel="0" collapsed="false">
      <c r="B135" s="40" t="s">
        <v>895</v>
      </c>
      <c r="D135" s="47" t="n">
        <f aca="false">IF(D32=0,0,IRR(E92:AH92))</f>
        <v>0</v>
      </c>
    </row>
    <row r="136" customFormat="false" ht="15" hidden="false" customHeight="true" outlineLevel="0" collapsed="false">
      <c r="B136" s="40" t="s">
        <v>76</v>
      </c>
      <c r="D136" s="59" t="n">
        <f aca="false">D87</f>
        <v>0</v>
      </c>
    </row>
    <row r="138" customFormat="false" ht="15" hidden="false" customHeight="true" outlineLevel="0" collapsed="false">
      <c r="B138" s="21" t="s">
        <v>896</v>
      </c>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row>
    <row r="139" customFormat="false" ht="15" hidden="false" customHeight="true" outlineLevel="0" collapsed="false">
      <c r="B139" s="4" t="s">
        <v>897</v>
      </c>
      <c r="D139" s="59" t="n">
        <f aca="false">SUM(E139:AH139)</f>
        <v>102.21883010395</v>
      </c>
      <c r="E139" s="57" t="n">
        <f aca="false">SUMIF(SPV3!$E$6:$AD$6,E$5,SPV3!$E$64:$AD$64)+SUMIF(SPV4!$E$6:$AD$6,E$5,SPV4!$E$64:$AD$64)</f>
        <v>0</v>
      </c>
      <c r="F139" s="57" t="n">
        <f aca="false">SUMIF(SPV3!$E$6:$AD$6,F$5,SPV3!$E$64:$AD$64)+SUMIF(SPV4!$E$6:$AD$6,F$5,SPV4!$E$64:$AD$64)</f>
        <v>1.32302339202929</v>
      </c>
      <c r="G139" s="57" t="n">
        <f aca="false">SUMIF(SPV3!$E$6:$AD$6,G$5,SPV3!$E$64:$AD$64)+SUMIF(SPV4!$E$6:$AD$6,G$5,SPV4!$E$64:$AD$64)</f>
        <v>6.40215095618576</v>
      </c>
      <c r="H139" s="57" t="n">
        <f aca="false">SUMIF(SPV3!$E$6:$AD$6,H$5,SPV3!$E$64:$AD$64)+SUMIF(SPV4!$E$6:$AD$6,H$5,SPV4!$E$64:$AD$64)</f>
        <v>9.30643028819731</v>
      </c>
      <c r="I139" s="57" t="n">
        <f aca="false">SUMIF(SPV3!$E$6:$AD$6,I$5,SPV3!$E$64:$AD$64)+SUMIF(SPV4!$E$6:$AD$6,I$5,SPV4!$E$64:$AD$64)</f>
        <v>9.81567987357477</v>
      </c>
      <c r="J139" s="57" t="n">
        <f aca="false">SUMIF(SPV3!$E$6:$AD$6,J$5,SPV3!$E$64:$AD$64)+SUMIF(SPV4!$E$6:$AD$6,J$5,SPV4!$E$64:$AD$64)</f>
        <v>9.81567987357477</v>
      </c>
      <c r="K139" s="57" t="n">
        <f aca="false">SUMIF(SPV3!$E$6:$AD$6,K$5,SPV3!$E$64:$AD$64)+SUMIF(SPV4!$E$6:$AD$6,K$5,SPV4!$E$64:$AD$64)</f>
        <v>9.81567987357477</v>
      </c>
      <c r="L139" s="57" t="n">
        <f aca="false">SUMIF(SPV3!$E$6:$AD$6,L$5,SPV3!$E$64:$AD$64)+SUMIF(SPV4!$E$6:$AD$6,L$5,SPV4!$E$64:$AD$64)</f>
        <v>9.81567987357477</v>
      </c>
      <c r="M139" s="57" t="n">
        <f aca="false">SUMIF(SPV3!$E$6:$AD$6,M$5,SPV3!$E$64:$AD$64)+SUMIF(SPV4!$E$6:$AD$6,M$5,SPV4!$E$64:$AD$64)</f>
        <v>9.81567987357477</v>
      </c>
      <c r="N139" s="57" t="n">
        <f aca="false">SUMIF(SPV3!$E$6:$AD$6,N$5,SPV3!$E$64:$AD$64)+SUMIF(SPV4!$E$6:$AD$6,N$5,SPV4!$E$64:$AD$64)</f>
        <v>9.81567987357477</v>
      </c>
      <c r="O139" s="57" t="n">
        <f aca="false">SUMIF(SPV3!$E$6:$AD$6,O$5,SPV3!$E$64:$AD$64)+SUMIF(SPV4!$E$6:$AD$6,O$5,SPV4!$E$64:$AD$64)</f>
        <v>9.81567987357477</v>
      </c>
      <c r="P139" s="57" t="n">
        <f aca="false">SUMIF(SPV3!$E$6:$AD$6,P$5,SPV3!$E$64:$AD$64)+SUMIF(SPV4!$E$6:$AD$6,P$5,SPV4!$E$64:$AD$64)</f>
        <v>9.81567987357477</v>
      </c>
      <c r="Q139" s="57" t="n">
        <f aca="false">SUMIF(SPV3!$E$6:$AD$6,Q$5,SPV3!$E$64:$AD$64)+SUMIF(SPV4!$E$6:$AD$6,Q$5,SPV4!$E$64:$AD$64)</f>
        <v>6.66178647893981</v>
      </c>
      <c r="R139" s="57" t="n">
        <f aca="false">SUMIF(SPV3!$E$6:$AD$6,R$5,SPV3!$E$64:$AD$64)+SUMIF(SPV4!$E$6:$AD$6,R$5,SPV4!$E$64:$AD$64)</f>
        <v>0</v>
      </c>
      <c r="S139" s="57" t="n">
        <f aca="false">SUMIF(SPV3!$E$6:$AD$6,S$5,SPV3!$E$64:$AD$64)+SUMIF(SPV4!$E$6:$AD$6,S$5,SPV4!$E$64:$AD$64)</f>
        <v>0</v>
      </c>
      <c r="T139" s="57" t="n">
        <f aca="false">SUMIF(SPV3!$E$6:$AD$6,T$5,SPV3!$E$64:$AD$64)+SUMIF(SPV4!$E$6:$AD$6,T$5,SPV4!$E$64:$AD$64)</f>
        <v>0</v>
      </c>
      <c r="U139" s="57" t="n">
        <f aca="false">SUMIF(SPV3!$E$6:$AD$6,U$5,SPV3!$E$64:$AD$64)+SUMIF(SPV4!$E$6:$AD$6,U$5,SPV4!$E$64:$AD$64)</f>
        <v>0</v>
      </c>
      <c r="V139" s="57" t="n">
        <f aca="false">SUMIF(SPV3!$E$6:$AD$6,V$5,SPV3!$E$64:$AD$64)+SUMIF(SPV4!$E$6:$AD$6,V$5,SPV4!$E$64:$AD$64)</f>
        <v>0</v>
      </c>
      <c r="W139" s="57" t="n">
        <f aca="false">SUMIF(SPV3!$E$6:$AD$6,W$5,SPV3!$E$64:$AD$64)+SUMIF(SPV4!$E$6:$AD$6,W$5,SPV4!$E$64:$AD$64)</f>
        <v>0</v>
      </c>
      <c r="X139" s="57" t="n">
        <f aca="false">SUMIF(SPV3!$E$6:$AD$6,X$5,SPV3!$E$64:$AD$64)+SUMIF(SPV4!$E$6:$AD$6,X$5,SPV4!$E$64:$AD$64)</f>
        <v>0</v>
      </c>
      <c r="Y139" s="57" t="n">
        <f aca="false">SUMIF(SPV3!$E$6:$AD$6,Y$5,SPV3!$E$64:$AD$64)+SUMIF(SPV4!$E$6:$AD$6,Y$5,SPV4!$E$64:$AD$64)</f>
        <v>0</v>
      </c>
      <c r="Z139" s="57" t="n">
        <f aca="false">SUMIF(SPV3!$E$6:$AD$6,Z$5,SPV3!$E$64:$AD$64)+SUMIF(SPV4!$E$6:$AD$6,Z$5,SPV4!$E$64:$AD$64)</f>
        <v>0</v>
      </c>
      <c r="AA139" s="57" t="n">
        <f aca="false">SUMIF(SPV3!$E$6:$AD$6,AA$5,SPV3!$E$64:$AD$64)+SUMIF(SPV4!$E$6:$AD$6,AA$5,SPV4!$E$64:$AD$64)</f>
        <v>0</v>
      </c>
      <c r="AB139" s="57" t="n">
        <f aca="false">SUMIF(SPV3!$E$6:$AD$6,AB$5,SPV3!$E$64:$AD$64)+SUMIF(SPV4!$E$6:$AD$6,AB$5,SPV4!$E$64:$AD$64)</f>
        <v>0</v>
      </c>
      <c r="AC139" s="57" t="n">
        <f aca="false">SUMIF(SPV3!$E$6:$AD$6,AC$5,SPV3!$E$64:$AD$64)+SUMIF(SPV4!$E$6:$AD$6,AC$5,SPV4!$E$64:$AD$64)</f>
        <v>0</v>
      </c>
      <c r="AD139" s="57" t="n">
        <f aca="false">SUMIF(SPV3!$E$6:$AD$6,AD$5,SPV3!$E$64:$AD$64)+SUMIF(SPV4!$E$6:$AD$6,AD$5,SPV4!$E$64:$AD$64)</f>
        <v>0</v>
      </c>
      <c r="AE139" s="57" t="n">
        <f aca="false">SUMIF(SPV3!$E$6:$AD$6,AE$5,SPV3!$E$64:$AD$64)+SUMIF(SPV4!$E$6:$AD$6,AE$5,SPV4!$E$64:$AD$64)</f>
        <v>0</v>
      </c>
      <c r="AF139" s="57" t="n">
        <f aca="false">SUMIF(SPV3!$E$6:$AD$6,AF$5,SPV3!$E$64:$AD$64)+SUMIF(SPV4!$E$6:$AD$6,AF$5,SPV4!$E$64:$AD$64)</f>
        <v>0</v>
      </c>
      <c r="AG139" s="57" t="n">
        <f aca="false">SUMIF(SPV3!$E$6:$AD$6,AG$5,SPV3!$E$64:$AD$64)+SUMIF(SPV4!$E$6:$AD$6,AG$5,SPV4!$E$64:$AD$64)</f>
        <v>0</v>
      </c>
      <c r="AH139" s="57" t="n">
        <f aca="false">SUMIF(SPV3!$E$6:$AD$6,AH$5,SPV3!$E$64:$AD$64)+SUMIF(SPV4!$E$6:$AD$6,AH$5,SPV4!$E$64:$AD$64)</f>
        <v>0</v>
      </c>
    </row>
    <row r="140" customFormat="false" ht="15" hidden="false" customHeight="true" outlineLevel="0" collapsed="false">
      <c r="B140" s="4" t="s">
        <v>898</v>
      </c>
      <c r="E140" s="57" t="n">
        <f aca="false">SUMIF(SPV3!$E$6:$AD$6,E$5,SPV3!$E$78:$AD$78)+SUMIF(SPV3!$E$6:$AD$6,E$5,SPV3!$E$74:$AD$74)+SUMIF(SPV4!$E$6:$AD$6,E$5,SPV4!$E$78:$AD$78)+SUMIF(SPV4!$E$6:$AD$6,E$5,SPV4!$E$74:$AD$74)+IF(E5=Inputs!$C$7-1,'Sources &amp; Uses'!$C$37+'Sources &amp; Uses'!$C$40,0)+IF(E5=Inputs!$D$7-1,'Sources &amp; Uses'!$D$37+'Sources &amp; Uses'!$D$40,0)</f>
        <v>3.985</v>
      </c>
      <c r="F140" s="57" t="n">
        <f aca="false">SUMIF(SPV3!$E$6:$AD$6,F$5,SPV3!$E$78:$AD$78)+SUMIF(SPV3!$E$6:$AD$6,F$5,SPV3!$E$74:$AD$74)+SUMIF(SPV4!$E$6:$AD$6,F$5,SPV4!$E$78:$AD$78)+SUMIF(SPV4!$E$6:$AD$6,F$5,SPV4!$E$74:$AD$74)+IF(F5=Inputs!$C$7-1,'Sources &amp; Uses'!$C$37+'Sources &amp; Uses'!$C$40,0)+IF(F5=Inputs!$D$7-1,'Sources &amp; Uses'!$D$37+'Sources &amp; Uses'!$D$40,0)</f>
        <v>41.577988996934</v>
      </c>
      <c r="G140" s="57" t="n">
        <f aca="false">SUMIF(SPV3!$E$6:$AD$6,G$5,SPV3!$E$78:$AD$78)+SUMIF(SPV3!$E$6:$AD$6,G$5,SPV3!$E$74:$AD$74)+SUMIF(SPV4!$E$6:$AD$6,G$5,SPV4!$E$78:$AD$78)+SUMIF(SPV4!$E$6:$AD$6,G$5,SPV4!$E$74:$AD$74)+IF(G5=Inputs!$C$7-1,'Sources &amp; Uses'!$C$37+'Sources &amp; Uses'!$C$40,0)+IF(G5=Inputs!$D$7-1,'Sources &amp; Uses'!$D$37+'Sources &amp; Uses'!$D$40,0)</f>
        <v>102.209053950227</v>
      </c>
      <c r="H140" s="57" t="n">
        <f aca="false">SUMIF(SPV3!$E$6:$AD$6,H$5,SPV3!$E$78:$AD$78)+SUMIF(SPV3!$E$6:$AD$6,H$5,SPV3!$E$74:$AD$74)+SUMIF(SPV4!$E$6:$AD$6,H$5,SPV4!$E$78:$AD$78)+SUMIF(SPV4!$E$6:$AD$6,H$5,SPV4!$E$74:$AD$74)+IF(H5=Inputs!$C$7-1,'Sources &amp; Uses'!$C$37+'Sources &amp; Uses'!$C$40,0)+IF(H5=Inputs!$D$7-1,'Sources &amp; Uses'!$D$37+'Sources &amp; Uses'!$D$40,0)</f>
        <v>106.452800495039</v>
      </c>
      <c r="I140" s="57" t="n">
        <f aca="false">SUMIF(SPV3!$E$6:$AD$6,I$5,SPV3!$E$78:$AD$78)+SUMIF(SPV3!$E$6:$AD$6,I$5,SPV3!$E$74:$AD$74)+SUMIF(SPV4!$E$6:$AD$6,I$5,SPV4!$E$78:$AD$78)+SUMIF(SPV4!$E$6:$AD$6,I$5,SPV4!$E$74:$AD$74)+IF(I5=Inputs!$C$7-1,'Sources &amp; Uses'!$C$37+'Sources &amp; Uses'!$C$40,0)+IF(I5=Inputs!$D$7-1,'Sources &amp; Uses'!$D$37+'Sources &amp; Uses'!$D$40,0)</f>
        <v>106.452800495039</v>
      </c>
      <c r="J140" s="57" t="n">
        <f aca="false">SUMIF(SPV3!$E$6:$AD$6,J$5,SPV3!$E$78:$AD$78)+SUMIF(SPV3!$E$6:$AD$6,J$5,SPV3!$E$74:$AD$74)+SUMIF(SPV4!$E$6:$AD$6,J$5,SPV4!$E$78:$AD$78)+SUMIF(SPV4!$E$6:$AD$6,J$5,SPV4!$E$74:$AD$74)+IF(J5=Inputs!$C$7-1,'Sources &amp; Uses'!$C$37+'Sources &amp; Uses'!$C$40,0)+IF(J5=Inputs!$D$7-1,'Sources &amp; Uses'!$D$37+'Sources &amp; Uses'!$D$40,0)</f>
        <v>106.452800495039</v>
      </c>
      <c r="K140" s="57" t="n">
        <f aca="false">SUMIF(SPV3!$E$6:$AD$6,K$5,SPV3!$E$78:$AD$78)+SUMIF(SPV3!$E$6:$AD$6,K$5,SPV3!$E$74:$AD$74)+SUMIF(SPV4!$E$6:$AD$6,K$5,SPV4!$E$78:$AD$78)+SUMIF(SPV4!$E$6:$AD$6,K$5,SPV4!$E$74:$AD$74)+IF(K5=Inputs!$C$7-1,'Sources &amp; Uses'!$C$37+'Sources &amp; Uses'!$C$40,0)+IF(K5=Inputs!$D$7-1,'Sources &amp; Uses'!$D$37+'Sources &amp; Uses'!$D$40,0)</f>
        <v>106.452800495039</v>
      </c>
      <c r="L140" s="57" t="n">
        <f aca="false">SUMIF(SPV3!$E$6:$AD$6,L$5,SPV3!$E$78:$AD$78)+SUMIF(SPV3!$E$6:$AD$6,L$5,SPV3!$E$74:$AD$74)+SUMIF(SPV4!$E$6:$AD$6,L$5,SPV4!$E$78:$AD$78)+SUMIF(SPV4!$E$6:$AD$6,L$5,SPV4!$E$74:$AD$74)+IF(L5=Inputs!$C$7-1,'Sources &amp; Uses'!$C$37+'Sources &amp; Uses'!$C$40,0)+IF(L5=Inputs!$D$7-1,'Sources &amp; Uses'!$D$37+'Sources &amp; Uses'!$D$40,0)</f>
        <v>106.452800495039</v>
      </c>
      <c r="M140" s="57" t="n">
        <f aca="false">SUMIF(SPV3!$E$6:$AD$6,M$5,SPV3!$E$78:$AD$78)+SUMIF(SPV3!$E$6:$AD$6,M$5,SPV3!$E$74:$AD$74)+SUMIF(SPV4!$E$6:$AD$6,M$5,SPV4!$E$78:$AD$78)+SUMIF(SPV4!$E$6:$AD$6,M$5,SPV4!$E$74:$AD$74)+IF(M5=Inputs!$C$7-1,'Sources &amp; Uses'!$C$37+'Sources &amp; Uses'!$C$40,0)+IF(M5=Inputs!$D$7-1,'Sources &amp; Uses'!$D$37+'Sources &amp; Uses'!$D$40,0)</f>
        <v>106.452800495039</v>
      </c>
      <c r="N140" s="57" t="n">
        <f aca="false">SUMIF(SPV3!$E$6:$AD$6,N$5,SPV3!$E$78:$AD$78)+SUMIF(SPV3!$E$6:$AD$6,N$5,SPV3!$E$74:$AD$74)+SUMIF(SPV4!$E$6:$AD$6,N$5,SPV4!$E$78:$AD$78)+SUMIF(SPV4!$E$6:$AD$6,N$5,SPV4!$E$74:$AD$74)+IF(N5=Inputs!$C$7-1,'Sources &amp; Uses'!$C$37+'Sources &amp; Uses'!$C$40,0)+IF(N5=Inputs!$D$7-1,'Sources &amp; Uses'!$D$37+'Sources &amp; Uses'!$D$40,0)</f>
        <v>106.452800495039</v>
      </c>
      <c r="O140" s="57" t="n">
        <f aca="false">SUMIF(SPV3!$E$6:$AD$6,O$5,SPV3!$E$78:$AD$78)+SUMIF(SPV3!$E$6:$AD$6,O$5,SPV3!$E$74:$AD$74)+SUMIF(SPV4!$E$6:$AD$6,O$5,SPV4!$E$78:$AD$78)+SUMIF(SPV4!$E$6:$AD$6,O$5,SPV4!$E$74:$AD$74)+IF(O5=Inputs!$C$7-1,'Sources &amp; Uses'!$C$37+'Sources &amp; Uses'!$C$40,0)+IF(O5=Inputs!$D$7-1,'Sources &amp; Uses'!$D$37+'Sources &amp; Uses'!$D$40,0)</f>
        <v>106.452800495039</v>
      </c>
      <c r="P140" s="57" t="n">
        <f aca="false">SUMIF(SPV3!$E$6:$AD$6,P$5,SPV3!$E$78:$AD$78)+SUMIF(SPV3!$E$6:$AD$6,P$5,SPV3!$E$74:$AD$74)+SUMIF(SPV4!$E$6:$AD$6,P$5,SPV4!$E$78:$AD$78)+SUMIF(SPV4!$E$6:$AD$6,P$5,SPV4!$E$74:$AD$74)+IF(P5=Inputs!$C$7-1,'Sources &amp; Uses'!$C$37+'Sources &amp; Uses'!$C$40,0)+IF(P5=Inputs!$D$7-1,'Sources &amp; Uses'!$D$37+'Sources &amp; Uses'!$D$40,0)</f>
        <v>106.452800495039</v>
      </c>
      <c r="Q140" s="57" t="n">
        <f aca="false">SUMIF(SPV3!$E$6:$AD$6,Q$5,SPV3!$E$78:$AD$78)+SUMIF(SPV3!$E$6:$AD$6,Q$5,SPV3!$E$74:$AD$74)+SUMIF(SPV4!$E$6:$AD$6,Q$5,SPV4!$E$78:$AD$78)+SUMIF(SPV4!$E$6:$AD$6,Q$5,SPV4!$E$74:$AD$74)+IF(Q5=Inputs!$C$7-1,'Sources &amp; Uses'!$C$37+'Sources &amp; Uses'!$C$40,0)+IF(Q5=Inputs!$D$7-1,'Sources &amp; Uses'!$D$37+'Sources &amp; Uses'!$D$40,0)</f>
        <v>90.604017961081</v>
      </c>
      <c r="R140" s="57" t="n">
        <f aca="false">SUMIF(SPV3!$E$6:$AD$6,R$5,SPV3!$E$78:$AD$78)+SUMIF(SPV3!$E$6:$AD$6,R$5,SPV3!$E$74:$AD$74)+SUMIF(SPV4!$E$6:$AD$6,R$5,SPV4!$E$78:$AD$78)+SUMIF(SPV4!$E$6:$AD$6,R$5,SPV4!$E$74:$AD$74)+IF(R5=Inputs!$C$7-1,'Sources &amp; Uses'!$C$37+'Sources &amp; Uses'!$C$40,0)+IF(R5=Inputs!$D$7-1,'Sources &amp; Uses'!$D$37+'Sources &amp; Uses'!$D$40,0)</f>
        <v>53.7922235492648</v>
      </c>
      <c r="S140" s="57" t="n">
        <f aca="false">SUMIF(SPV3!$E$6:$AD$6,S$5,SPV3!$E$78:$AD$78)+SUMIF(SPV3!$E$6:$AD$6,S$5,SPV3!$E$74:$AD$74)+SUMIF(SPV4!$E$6:$AD$6,S$5,SPV4!$E$78:$AD$78)+SUMIF(SPV4!$E$6:$AD$6,S$5,SPV4!$E$74:$AD$74)+IF(S5=Inputs!$C$7-1,'Sources &amp; Uses'!$C$37+'Sources &amp; Uses'!$C$40,0)+IF(S5=Inputs!$D$7-1,'Sources &amp; Uses'!$D$37+'Sources &amp; Uses'!$D$40,0)</f>
        <v>39.6462429848442</v>
      </c>
      <c r="T140" s="57" t="n">
        <f aca="false">SUMIF(SPV3!$E$6:$AD$6,T$5,SPV3!$E$78:$AD$78)+SUMIF(SPV3!$E$6:$AD$6,T$5,SPV3!$E$74:$AD$74)+SUMIF(SPV4!$E$6:$AD$6,T$5,SPV4!$E$78:$AD$78)+SUMIF(SPV4!$E$6:$AD$6,T$5,SPV4!$E$74:$AD$74)+IF(T5=Inputs!$C$7-1,'Sources &amp; Uses'!$C$37+'Sources &amp; Uses'!$C$40,0)+IF(T5=Inputs!$D$7-1,'Sources &amp; Uses'!$D$37+'Sources &amp; Uses'!$D$40,0)</f>
        <v>25.5002624204236</v>
      </c>
      <c r="U140" s="57" t="n">
        <f aca="false">SUMIF(SPV3!$E$6:$AD$6,U$5,SPV3!$E$78:$AD$78)+SUMIF(SPV3!$E$6:$AD$6,U$5,SPV3!$E$74:$AD$74)+SUMIF(SPV4!$E$6:$AD$6,U$5,SPV4!$E$78:$AD$78)+SUMIF(SPV4!$E$6:$AD$6,U$5,SPV4!$E$74:$AD$74)+IF(U5=Inputs!$C$7-1,'Sources &amp; Uses'!$C$37+'Sources &amp; Uses'!$C$40,0)+IF(U5=Inputs!$D$7-1,'Sources &amp; Uses'!$D$37+'Sources &amp; Uses'!$D$40,0)</f>
        <v>11.5688066521187</v>
      </c>
      <c r="V140" s="57" t="n">
        <f aca="false">SUMIF(SPV3!$E$6:$AD$6,V$5,SPV3!$E$78:$AD$78)+SUMIF(SPV3!$E$6:$AD$6,V$5,SPV3!$E$74:$AD$74)+SUMIF(SPV4!$E$6:$AD$6,V$5,SPV4!$E$78:$AD$78)+SUMIF(SPV4!$E$6:$AD$6,V$5,SPV4!$E$74:$AD$74)+IF(V5=Inputs!$C$7-1,'Sources &amp; Uses'!$C$37+'Sources &amp; Uses'!$C$40,0)+IF(V5=Inputs!$D$7-1,'Sources &amp; Uses'!$D$37+'Sources &amp; Uses'!$D$40,0)</f>
        <v>2.14237160224422</v>
      </c>
      <c r="W140" s="57" t="n">
        <f aca="false">SUMIF(SPV3!$E$6:$AD$6,W$5,SPV3!$E$78:$AD$78)+SUMIF(SPV3!$E$6:$AD$6,W$5,SPV3!$E$74:$AD$74)+SUMIF(SPV4!$E$6:$AD$6,W$5,SPV4!$E$78:$AD$78)+SUMIF(SPV4!$E$6:$AD$6,W$5,SPV4!$E$74:$AD$74)+IF(W5=Inputs!$C$7-1,'Sources &amp; Uses'!$C$37+'Sources &amp; Uses'!$C$40,0)+IF(W5=Inputs!$D$7-1,'Sources &amp; Uses'!$D$37+'Sources &amp; Uses'!$D$40,0)</f>
        <v>4.79616346638068E-014</v>
      </c>
      <c r="X140" s="57" t="n">
        <f aca="false">SUMIF(SPV3!$E$6:$AD$6,X$5,SPV3!$E$78:$AD$78)+SUMIF(SPV3!$E$6:$AD$6,X$5,SPV3!$E$74:$AD$74)+SUMIF(SPV4!$E$6:$AD$6,X$5,SPV4!$E$78:$AD$78)+SUMIF(SPV4!$E$6:$AD$6,X$5,SPV4!$E$74:$AD$74)+IF(X5=Inputs!$C$7-1,'Sources &amp; Uses'!$C$37+'Sources &amp; Uses'!$C$40,0)+IF(X5=Inputs!$D$7-1,'Sources &amp; Uses'!$D$37+'Sources &amp; Uses'!$D$40,0)</f>
        <v>4.79616346638068E-014</v>
      </c>
      <c r="Y140" s="57" t="n">
        <f aca="false">SUMIF(SPV3!$E$6:$AD$6,Y$5,SPV3!$E$78:$AD$78)+SUMIF(SPV3!$E$6:$AD$6,Y$5,SPV3!$E$74:$AD$74)+SUMIF(SPV4!$E$6:$AD$6,Y$5,SPV4!$E$78:$AD$78)+SUMIF(SPV4!$E$6:$AD$6,Y$5,SPV4!$E$74:$AD$74)+IF(Y5=Inputs!$C$7-1,'Sources &amp; Uses'!$C$37+'Sources &amp; Uses'!$C$40,0)+IF(Y5=Inputs!$D$7-1,'Sources &amp; Uses'!$D$37+'Sources &amp; Uses'!$D$40,0)</f>
        <v>4.79616346638068E-014</v>
      </c>
      <c r="Z140" s="57" t="n">
        <f aca="false">SUMIF(SPV3!$E$6:$AD$6,Z$5,SPV3!$E$78:$AD$78)+SUMIF(SPV3!$E$6:$AD$6,Z$5,SPV3!$E$74:$AD$74)+SUMIF(SPV4!$E$6:$AD$6,Z$5,SPV4!$E$78:$AD$78)+SUMIF(SPV4!$E$6:$AD$6,Z$5,SPV4!$E$74:$AD$74)+IF(Z5=Inputs!$C$7-1,'Sources &amp; Uses'!$C$37+'Sources &amp; Uses'!$C$40,0)+IF(Z5=Inputs!$D$7-1,'Sources &amp; Uses'!$D$37+'Sources &amp; Uses'!$D$40,0)</f>
        <v>4.79616346638068E-014</v>
      </c>
      <c r="AA140" s="57" t="n">
        <f aca="false">SUMIF(SPV3!$E$6:$AD$6,AA$5,SPV3!$E$78:$AD$78)+SUMIF(SPV3!$E$6:$AD$6,AA$5,SPV3!$E$74:$AD$74)+SUMIF(SPV4!$E$6:$AD$6,AA$5,SPV4!$E$78:$AD$78)+SUMIF(SPV4!$E$6:$AD$6,AA$5,SPV4!$E$74:$AD$74)+IF(AA5=Inputs!$C$7-1,'Sources &amp; Uses'!$C$37+'Sources &amp; Uses'!$C$40,0)+IF(AA5=Inputs!$D$7-1,'Sources &amp; Uses'!$D$37+'Sources &amp; Uses'!$D$40,0)</f>
        <v>4.79616346638068E-014</v>
      </c>
      <c r="AB140" s="57" t="n">
        <f aca="false">SUMIF(SPV3!$E$6:$AD$6,AB$5,SPV3!$E$78:$AD$78)+SUMIF(SPV3!$E$6:$AD$6,AB$5,SPV3!$E$74:$AD$74)+SUMIF(SPV4!$E$6:$AD$6,AB$5,SPV4!$E$78:$AD$78)+SUMIF(SPV4!$E$6:$AD$6,AB$5,SPV4!$E$74:$AD$74)+IF(AB5=Inputs!$C$7-1,'Sources &amp; Uses'!$C$37+'Sources &amp; Uses'!$C$40,0)+IF(AB5=Inputs!$D$7-1,'Sources &amp; Uses'!$D$37+'Sources &amp; Uses'!$D$40,0)</f>
        <v>4.79616346638068E-014</v>
      </c>
      <c r="AC140" s="57" t="n">
        <f aca="false">SUMIF(SPV3!$E$6:$AD$6,AC$5,SPV3!$E$78:$AD$78)+SUMIF(SPV3!$E$6:$AD$6,AC$5,SPV3!$E$74:$AD$74)+SUMIF(SPV4!$E$6:$AD$6,AC$5,SPV4!$E$78:$AD$78)+SUMIF(SPV4!$E$6:$AD$6,AC$5,SPV4!$E$74:$AD$74)+IF(AC5=Inputs!$C$7-1,'Sources &amp; Uses'!$C$37+'Sources &amp; Uses'!$C$40,0)+IF(AC5=Inputs!$D$7-1,'Sources &amp; Uses'!$D$37+'Sources &amp; Uses'!$D$40,0)</f>
        <v>4.79616346638068E-014</v>
      </c>
      <c r="AD140" s="57" t="n">
        <f aca="false">SUMIF(SPV3!$E$6:$AD$6,AD$5,SPV3!$E$78:$AD$78)+SUMIF(SPV3!$E$6:$AD$6,AD$5,SPV3!$E$74:$AD$74)+SUMIF(SPV4!$E$6:$AD$6,AD$5,SPV4!$E$78:$AD$78)+SUMIF(SPV4!$E$6:$AD$6,AD$5,SPV4!$E$74:$AD$74)+IF(AD5=Inputs!$C$7-1,'Sources &amp; Uses'!$C$37+'Sources &amp; Uses'!$C$40,0)+IF(AD5=Inputs!$D$7-1,'Sources &amp; Uses'!$D$37+'Sources &amp; Uses'!$D$40,0)</f>
        <v>4.79616346638068E-014</v>
      </c>
      <c r="AE140" s="57" t="n">
        <f aca="false">SUMIF(SPV3!$E$6:$AD$6,AE$5,SPV3!$E$78:$AD$78)+SUMIF(SPV3!$E$6:$AD$6,AE$5,SPV3!$E$74:$AD$74)+SUMIF(SPV4!$E$6:$AD$6,AE$5,SPV4!$E$78:$AD$78)+SUMIF(SPV4!$E$6:$AD$6,AE$5,SPV4!$E$74:$AD$74)+IF(AE5=Inputs!$C$7-1,'Sources &amp; Uses'!$C$37+'Sources &amp; Uses'!$C$40,0)+IF(AE5=Inputs!$D$7-1,'Sources &amp; Uses'!$D$37+'Sources &amp; Uses'!$D$40,0)</f>
        <v>4.79616346638068E-014</v>
      </c>
      <c r="AF140" s="57" t="n">
        <f aca="false">SUMIF(SPV3!$E$6:$AD$6,AF$5,SPV3!$E$78:$AD$78)+SUMIF(SPV3!$E$6:$AD$6,AF$5,SPV3!$E$74:$AD$74)+SUMIF(SPV4!$E$6:$AD$6,AF$5,SPV4!$E$78:$AD$78)+SUMIF(SPV4!$E$6:$AD$6,AF$5,SPV4!$E$74:$AD$74)+IF(AF5=Inputs!$C$7-1,'Sources &amp; Uses'!$C$37+'Sources &amp; Uses'!$C$40,0)+IF(AF5=Inputs!$D$7-1,'Sources &amp; Uses'!$D$37+'Sources &amp; Uses'!$D$40,0)</f>
        <v>4.79616346638068E-014</v>
      </c>
      <c r="AG140" s="57" t="n">
        <f aca="false">SUMIF(SPV3!$E$6:$AD$6,AG$5,SPV3!$E$78:$AD$78)+SUMIF(SPV3!$E$6:$AD$6,AG$5,SPV3!$E$74:$AD$74)+SUMIF(SPV4!$E$6:$AD$6,AG$5,SPV4!$E$78:$AD$78)+SUMIF(SPV4!$E$6:$AD$6,AG$5,SPV4!$E$74:$AD$74)+IF(AG5=Inputs!$C$7-1,'Sources &amp; Uses'!$C$37+'Sources &amp; Uses'!$C$40,0)+IF(AG5=Inputs!$D$7-1,'Sources &amp; Uses'!$D$37+'Sources &amp; Uses'!$D$40,0)</f>
        <v>0</v>
      </c>
      <c r="AH140" s="57" t="n">
        <f aca="false">SUMIF(SPV3!$E$6:$AD$6,AH$5,SPV3!$E$78:$AD$78)+SUMIF(SPV3!$E$6:$AD$6,AH$5,SPV3!$E$74:$AD$74)+SUMIF(SPV4!$E$6:$AD$6,AH$5,SPV4!$E$78:$AD$78)+SUMIF(SPV4!$E$6:$AD$6,AH$5,SPV4!$E$74:$AD$74)+IF(AH5=Inputs!$C$7-1,'Sources &amp; Uses'!$C$37+'Sources &amp; Uses'!$C$40,0)+IF(AH5=Inputs!$D$7-1,'Sources &amp; Uses'!$D$37+'Sources &amp; Uses'!$D$40,0)</f>
        <v>0</v>
      </c>
    </row>
    <row r="141" customFormat="false" ht="15" hidden="false" customHeight="true" outlineLevel="0" collapsed="false">
      <c r="B141" s="4" t="s">
        <v>899</v>
      </c>
      <c r="E141" s="57" t="n">
        <f aca="false">E13-E23</f>
        <v>1.40625</v>
      </c>
      <c r="F141" s="57" t="n">
        <f aca="false">E141+F13-F23</f>
        <v>4.21875</v>
      </c>
      <c r="G141" s="57" t="n">
        <f aca="false">F141+G13-G23</f>
        <v>2.8125</v>
      </c>
      <c r="H141" s="57" t="n">
        <f aca="false">G141+H13-H23</f>
        <v>0</v>
      </c>
      <c r="I141" s="57" t="n">
        <f aca="false">H141+I13-I23</f>
        <v>0</v>
      </c>
      <c r="J141" s="57" t="n">
        <f aca="false">I141+J13-J23</f>
        <v>0</v>
      </c>
      <c r="K141" s="57" t="n">
        <f aca="false">J141+K13-K23</f>
        <v>0</v>
      </c>
      <c r="L141" s="57" t="n">
        <f aca="false">K141+L13-L23</f>
        <v>0</v>
      </c>
      <c r="M141" s="57" t="n">
        <f aca="false">L141+M13-M23</f>
        <v>0</v>
      </c>
      <c r="N141" s="57" t="n">
        <f aca="false">M141+N13-N23</f>
        <v>0</v>
      </c>
      <c r="O141" s="57" t="n">
        <f aca="false">N141+O13-O23</f>
        <v>0</v>
      </c>
      <c r="P141" s="57" t="n">
        <f aca="false">O141+P13-P23</f>
        <v>0</v>
      </c>
      <c r="Q141" s="57" t="n">
        <f aca="false">P141+Q13-Q23</f>
        <v>0</v>
      </c>
      <c r="R141" s="57" t="n">
        <f aca="false">Q141+R13-R23</f>
        <v>0</v>
      </c>
      <c r="S141" s="57" t="n">
        <f aca="false">R141+S13-S23</f>
        <v>0</v>
      </c>
      <c r="T141" s="57" t="n">
        <f aca="false">S141+T13-T23</f>
        <v>0</v>
      </c>
      <c r="U141" s="57" t="n">
        <f aca="false">T141+U13-U23</f>
        <v>0</v>
      </c>
      <c r="V141" s="57" t="n">
        <f aca="false">U141+V13-V23</f>
        <v>0</v>
      </c>
      <c r="W141" s="57" t="n">
        <f aca="false">V141+W13-W23</f>
        <v>0</v>
      </c>
      <c r="X141" s="57" t="n">
        <f aca="false">W141+X13-X23</f>
        <v>0</v>
      </c>
      <c r="Y141" s="57" t="n">
        <f aca="false">X141+Y13-Y23</f>
        <v>0</v>
      </c>
      <c r="Z141" s="57" t="n">
        <f aca="false">Y141+Z13-Z23</f>
        <v>0</v>
      </c>
      <c r="AA141" s="57" t="n">
        <f aca="false">Z141+AA13-AA23</f>
        <v>0</v>
      </c>
      <c r="AB141" s="57" t="n">
        <f aca="false">AA141+AB13-AB23</f>
        <v>0</v>
      </c>
      <c r="AC141" s="57" t="n">
        <f aca="false">AB141+AC13-AC23</f>
        <v>0</v>
      </c>
      <c r="AD141" s="57" t="n">
        <f aca="false">AC141+AD13-AD23</f>
        <v>0</v>
      </c>
      <c r="AE141" s="57" t="n">
        <f aca="false">AD141+AE13-AE23</f>
        <v>0</v>
      </c>
      <c r="AF141" s="57" t="n">
        <f aca="false">AE141+AF13-AF23</f>
        <v>0</v>
      </c>
      <c r="AG141" s="57" t="n">
        <f aca="false">AF141+AG13-AG23</f>
        <v>0</v>
      </c>
      <c r="AH141" s="57" t="n">
        <f aca="false">AG141+AH13-AH23</f>
        <v>0</v>
      </c>
    </row>
    <row r="142" customFormat="false" ht="15" hidden="false" customHeight="true" outlineLevel="0" collapsed="false">
      <c r="B142" s="4" t="s">
        <v>900</v>
      </c>
      <c r="E142" s="57" t="n">
        <f aca="false">E75</f>
        <v>0</v>
      </c>
      <c r="F142" s="57" t="n">
        <f aca="false">F75</f>
        <v>0</v>
      </c>
      <c r="G142" s="57" t="n">
        <f aca="false">G75</f>
        <v>0</v>
      </c>
      <c r="H142" s="57" t="n">
        <f aca="false">H75</f>
        <v>0</v>
      </c>
      <c r="I142" s="57" t="n">
        <f aca="false">I75</f>
        <v>0</v>
      </c>
      <c r="J142" s="57" t="n">
        <f aca="false">J75</f>
        <v>0</v>
      </c>
      <c r="K142" s="57" t="n">
        <f aca="false">K75</f>
        <v>0</v>
      </c>
      <c r="L142" s="57" t="n">
        <f aca="false">L75</f>
        <v>0</v>
      </c>
      <c r="M142" s="57" t="n">
        <f aca="false">M75</f>
        <v>0</v>
      </c>
      <c r="N142" s="57" t="n">
        <f aca="false">N75</f>
        <v>0</v>
      </c>
      <c r="O142" s="57" t="n">
        <f aca="false">O75</f>
        <v>0</v>
      </c>
      <c r="P142" s="57" t="n">
        <f aca="false">P75</f>
        <v>0</v>
      </c>
      <c r="Q142" s="57" t="n">
        <f aca="false">Q75</f>
        <v>0</v>
      </c>
      <c r="R142" s="57" t="n">
        <f aca="false">R75</f>
        <v>0</v>
      </c>
      <c r="S142" s="57" t="n">
        <f aca="false">S75</f>
        <v>0</v>
      </c>
      <c r="T142" s="57" t="n">
        <f aca="false">T75</f>
        <v>0</v>
      </c>
      <c r="U142" s="57" t="n">
        <f aca="false">U75</f>
        <v>0</v>
      </c>
      <c r="V142" s="57" t="n">
        <f aca="false">V75</f>
        <v>0</v>
      </c>
      <c r="W142" s="57" t="n">
        <f aca="false">W75</f>
        <v>0</v>
      </c>
      <c r="X142" s="57" t="n">
        <f aca="false">X75</f>
        <v>0</v>
      </c>
      <c r="Y142" s="57" t="n">
        <f aca="false">Y75</f>
        <v>0</v>
      </c>
      <c r="Z142" s="57" t="n">
        <f aca="false">Z75</f>
        <v>0</v>
      </c>
      <c r="AA142" s="57" t="n">
        <f aca="false">AA75</f>
        <v>0</v>
      </c>
      <c r="AB142" s="57" t="n">
        <f aca="false">AB75</f>
        <v>0</v>
      </c>
      <c r="AC142" s="57" t="n">
        <f aca="false">AC75</f>
        <v>0</v>
      </c>
      <c r="AD142" s="57" t="n">
        <f aca="false">AD75</f>
        <v>0</v>
      </c>
      <c r="AE142" s="57" t="n">
        <f aca="false">AE75</f>
        <v>0</v>
      </c>
      <c r="AF142" s="57" t="n">
        <f aca="false">AF75</f>
        <v>0</v>
      </c>
      <c r="AG142" s="57" t="n">
        <f aca="false">AG75</f>
        <v>0</v>
      </c>
      <c r="AH142" s="57" t="n">
        <f aca="false">AH75</f>
        <v>0</v>
      </c>
    </row>
    <row r="143" customFormat="false" ht="15" hidden="false" customHeight="true" outlineLevel="0" collapsed="false">
      <c r="B143" s="4" t="s">
        <v>901</v>
      </c>
      <c r="E143" s="57" t="n">
        <f aca="false">E38+E67+E69+E59</f>
        <v>0</v>
      </c>
      <c r="F143" s="57" t="n">
        <f aca="false">F38+F67+F69+F59</f>
        <v>37.1039954220749</v>
      </c>
      <c r="G143" s="57" t="n">
        <f aca="false">G38+G67+G69+G59</f>
        <v>85.8005797670614</v>
      </c>
      <c r="H143" s="57" t="n">
        <f aca="false">H38+H67+H69+H59</f>
        <v>88.4214655957237</v>
      </c>
      <c r="I143" s="57" t="n">
        <f aca="false">I38+I67+I69+I59</f>
        <v>89.4163615936357</v>
      </c>
      <c r="J143" s="57" t="n">
        <f aca="false">J38+J67+J69+J59</f>
        <v>90.5306451112973</v>
      </c>
      <c r="K143" s="57" t="n">
        <f aca="false">K38+K67+K69+K59</f>
        <v>91.7786426510781</v>
      </c>
      <c r="L143" s="57" t="n">
        <f aca="false">L38+L67+L69+L59</f>
        <v>93.1763998956328</v>
      </c>
      <c r="M143" s="57" t="n">
        <f aca="false">M38+M67+M69+M59</f>
        <v>94.7418880095339</v>
      </c>
      <c r="N143" s="57" t="n">
        <f aca="false">N38+N67+N69+N59</f>
        <v>96.4952346971032</v>
      </c>
      <c r="O143" s="57" t="n">
        <f aca="false">O38+O67+O69+O59</f>
        <v>98.4589829871809</v>
      </c>
      <c r="P143" s="57" t="n">
        <f aca="false">P38+P67+P69+P59</f>
        <v>100.658381072068</v>
      </c>
      <c r="Q143" s="57" t="n">
        <f aca="false">Q38+Q67+Q69+Q59</f>
        <v>0</v>
      </c>
      <c r="R143" s="57" t="n">
        <f aca="false">R38+R67+R69+R59</f>
        <v>0</v>
      </c>
      <c r="S143" s="57" t="n">
        <f aca="false">S38+S67+S69+S59</f>
        <v>0</v>
      </c>
      <c r="T143" s="57" t="n">
        <f aca="false">T38+T67+T69+T59</f>
        <v>0</v>
      </c>
      <c r="U143" s="57" t="n">
        <f aca="false">U38+U67+U69+U59</f>
        <v>0</v>
      </c>
      <c r="V143" s="57" t="n">
        <f aca="false">V38+V67+V69+V59</f>
        <v>0</v>
      </c>
      <c r="W143" s="57" t="n">
        <f aca="false">W38+W67+W69+W59</f>
        <v>0</v>
      </c>
      <c r="X143" s="57" t="n">
        <f aca="false">X38+X67+X69+X59</f>
        <v>0</v>
      </c>
      <c r="Y143" s="57" t="n">
        <f aca="false">Y38+Y67+Y69+Y59</f>
        <v>0</v>
      </c>
      <c r="Z143" s="57" t="n">
        <f aca="false">Z38+Z67+Z69+Z59</f>
        <v>0</v>
      </c>
      <c r="AA143" s="57" t="n">
        <f aca="false">AA38+AA67+AA69+AA59</f>
        <v>0</v>
      </c>
      <c r="AB143" s="57" t="n">
        <f aca="false">AB38+AB67+AB69+AB59</f>
        <v>0</v>
      </c>
      <c r="AC143" s="57" t="n">
        <f aca="false">AC38+AC67+AC69+AC59</f>
        <v>0</v>
      </c>
      <c r="AD143" s="57" t="n">
        <f aca="false">AD38+AD67+AD69+AD59</f>
        <v>0</v>
      </c>
      <c r="AE143" s="57" t="n">
        <f aca="false">AE38+AE67+AE69+AE59</f>
        <v>0</v>
      </c>
      <c r="AF143" s="57" t="n">
        <f aca="false">AF38+AF67+AF69+AF59</f>
        <v>0</v>
      </c>
      <c r="AG143" s="57" t="n">
        <f aca="false">AG38+AG67+AG69+AG59</f>
        <v>0</v>
      </c>
      <c r="AH143" s="57" t="n">
        <f aca="false">AH38+AH67+AH69+AH59</f>
        <v>0</v>
      </c>
    </row>
    <row r="144" customFormat="false" ht="15" hidden="false" customHeight="true" outlineLevel="0" collapsed="false">
      <c r="B144" s="4" t="s">
        <v>775</v>
      </c>
      <c r="E144" s="57" t="n">
        <f aca="false">E73+E63</f>
        <v>5.39125</v>
      </c>
      <c r="F144" s="57" t="n">
        <f aca="false">F73+F63</f>
        <v>8.69274357485903</v>
      </c>
      <c r="G144" s="57" t="n">
        <f aca="false">G73+G63</f>
        <v>19.2209741831655</v>
      </c>
      <c r="H144" s="57" t="n">
        <f aca="false">H73+H63</f>
        <v>18.0313348993155</v>
      </c>
      <c r="I144" s="57" t="n">
        <f aca="false">I73+I63</f>
        <v>17.0364389014034</v>
      </c>
      <c r="J144" s="57" t="n">
        <f aca="false">J73+J63</f>
        <v>15.9221553837419</v>
      </c>
      <c r="K144" s="57" t="n">
        <f aca="false">K73+K63</f>
        <v>14.674157843961</v>
      </c>
      <c r="L144" s="57" t="n">
        <f aca="false">L73+L63</f>
        <v>13.2764005994064</v>
      </c>
      <c r="M144" s="57" t="n">
        <f aca="false">M73+M63</f>
        <v>11.7109124855052</v>
      </c>
      <c r="N144" s="57" t="n">
        <f aca="false">N73+N63</f>
        <v>9.95756579793591</v>
      </c>
      <c r="O144" s="57" t="n">
        <f aca="false">O73+O63</f>
        <v>7.99381750785829</v>
      </c>
      <c r="P144" s="57" t="n">
        <f aca="false">P73+P63</f>
        <v>5.79441942297136</v>
      </c>
      <c r="Q144" s="57" t="n">
        <f aca="false">Q73+Q63</f>
        <v>90.604017961081</v>
      </c>
      <c r="R144" s="57" t="n">
        <f aca="false">R73+R63</f>
        <v>53.7922235492648</v>
      </c>
      <c r="S144" s="57" t="n">
        <f aca="false">S73+S63</f>
        <v>39.6462429848442</v>
      </c>
      <c r="T144" s="57" t="n">
        <f aca="false">T73+T63</f>
        <v>25.5002624204236</v>
      </c>
      <c r="U144" s="57" t="n">
        <f aca="false">U73+U63</f>
        <v>11.5688066521187</v>
      </c>
      <c r="V144" s="57" t="n">
        <f aca="false">V73+V63</f>
        <v>2.14237160224423</v>
      </c>
      <c r="W144" s="57" t="n">
        <f aca="false">W73+W63</f>
        <v>5.86197757002083E-014</v>
      </c>
      <c r="X144" s="57" t="n">
        <f aca="false">X73+X63</f>
        <v>5.86197757002083E-014</v>
      </c>
      <c r="Y144" s="57" t="n">
        <f aca="false">Y73+Y63</f>
        <v>5.86197757002083E-014</v>
      </c>
      <c r="Z144" s="57" t="n">
        <f aca="false">Z73+Z63</f>
        <v>5.86197757002083E-014</v>
      </c>
      <c r="AA144" s="57" t="n">
        <f aca="false">AA73+AA63</f>
        <v>5.86197757002083E-014</v>
      </c>
      <c r="AB144" s="57" t="n">
        <f aca="false">AB73+AB63</f>
        <v>5.86197757002083E-014</v>
      </c>
      <c r="AC144" s="57" t="n">
        <f aca="false">AC73+AC63</f>
        <v>5.86197757002083E-014</v>
      </c>
      <c r="AD144" s="57" t="n">
        <f aca="false">AD73+AD63</f>
        <v>5.86197757002083E-014</v>
      </c>
      <c r="AE144" s="57" t="n">
        <f aca="false">AE73+AE63</f>
        <v>5.86197757002083E-014</v>
      </c>
      <c r="AF144" s="57" t="n">
        <f aca="false">AF73+AF63</f>
        <v>5.86197757002083E-014</v>
      </c>
      <c r="AG144" s="57" t="n">
        <f aca="false">AG73+AG63</f>
        <v>5.86197757002083E-014</v>
      </c>
      <c r="AH144" s="57" t="n">
        <f aca="false">AH73+AH63</f>
        <v>5.86197757002083E-014</v>
      </c>
    </row>
    <row r="145" customFormat="false" ht="15" hidden="false" customHeight="true" outlineLevel="0" collapsed="false">
      <c r="B145" s="4" t="s">
        <v>776</v>
      </c>
      <c r="D145" s="59" t="n">
        <f aca="false">SUMPRODUCT(ABS(E145:AH145))</f>
        <v>2.34479102800833E-013</v>
      </c>
      <c r="E145" s="57" t="n">
        <f aca="false">E140+E141+E142-E143-E144</f>
        <v>0</v>
      </c>
      <c r="F145" s="57" t="n">
        <f aca="false">F140+F141+F142-F143-F144</f>
        <v>0</v>
      </c>
      <c r="G145" s="57" t="n">
        <f aca="false">G140+G141+G142-G143-G144</f>
        <v>0</v>
      </c>
      <c r="H145" s="57" t="n">
        <f aca="false">H140+H141+H142-H143-H144</f>
        <v>0</v>
      </c>
      <c r="I145" s="57" t="n">
        <f aca="false">I140+I141+I142-I143-I144</f>
        <v>0</v>
      </c>
      <c r="J145" s="57" t="n">
        <f aca="false">J140+J141+J142-J143-J144</f>
        <v>0</v>
      </c>
      <c r="K145" s="57" t="n">
        <f aca="false">K140+K141+K142-K143-K144</f>
        <v>0</v>
      </c>
      <c r="L145" s="57" t="n">
        <f aca="false">L140+L141+L142-L143-L144</f>
        <v>0</v>
      </c>
      <c r="M145" s="57" t="n">
        <f aca="false">M140+M141+M142-M143-M144</f>
        <v>0</v>
      </c>
      <c r="N145" s="57" t="n">
        <f aca="false">N140+N141+N142-N143-N144</f>
        <v>0</v>
      </c>
      <c r="O145" s="57" t="n">
        <f aca="false">O140+O141+O142-O143-O144</f>
        <v>0</v>
      </c>
      <c r="P145" s="57" t="n">
        <f aca="false">P140+P141+P142-P143-P144</f>
        <v>0</v>
      </c>
      <c r="Q145" s="57" t="n">
        <f aca="false">Q140+Q141+Q142-Q143-Q144</f>
        <v>0</v>
      </c>
      <c r="R145" s="57" t="n">
        <f aca="false">R140+R141+R142-R143-R144</f>
        <v>0</v>
      </c>
      <c r="S145" s="57" t="n">
        <f aca="false">S140+S141+S142-S143-S144</f>
        <v>0</v>
      </c>
      <c r="T145" s="57" t="n">
        <f aca="false">T140+T141+T142-T143-T144</f>
        <v>0</v>
      </c>
      <c r="U145" s="57" t="n">
        <f aca="false">U140+U141+U142-U143-U144</f>
        <v>0</v>
      </c>
      <c r="V145" s="57" t="n">
        <f aca="false">V140+V141+V142-V143-V144</f>
        <v>-1.06581410364015E-014</v>
      </c>
      <c r="W145" s="57" t="n">
        <f aca="false">W140+W141+W142-W143-W144</f>
        <v>-1.06581410364015E-014</v>
      </c>
      <c r="X145" s="57" t="n">
        <f aca="false">X140+X141+X142-X143-X144</f>
        <v>-1.06581410364015E-014</v>
      </c>
      <c r="Y145" s="57" t="n">
        <f aca="false">Y140+Y141+Y142-Y143-Y144</f>
        <v>-1.06581410364015E-014</v>
      </c>
      <c r="Z145" s="57" t="n">
        <f aca="false">Z140+Z141+Z142-Z143-Z144</f>
        <v>-1.06581410364015E-014</v>
      </c>
      <c r="AA145" s="57" t="n">
        <f aca="false">AA140+AA141+AA142-AA143-AA144</f>
        <v>-1.06581410364015E-014</v>
      </c>
      <c r="AB145" s="57" t="n">
        <f aca="false">AB140+AB141+AB142-AB143-AB144</f>
        <v>-1.06581410364015E-014</v>
      </c>
      <c r="AC145" s="57" t="n">
        <f aca="false">AC140+AC141+AC142-AC143-AC144</f>
        <v>-1.06581410364015E-014</v>
      </c>
      <c r="AD145" s="57" t="n">
        <f aca="false">AD140+AD141+AD142-AD143-AD144</f>
        <v>-1.06581410364015E-014</v>
      </c>
      <c r="AE145" s="57" t="n">
        <f aca="false">AE140+AE141+AE142-AE143-AE144</f>
        <v>-1.06581410364015E-014</v>
      </c>
      <c r="AF145" s="57" t="n">
        <f aca="false">AF140+AF141+AF142-AF143-AF144</f>
        <v>-1.06581410364015E-014</v>
      </c>
      <c r="AG145" s="57" t="n">
        <f aca="false">AG140+AG141+AG142-AG143-AG144</f>
        <v>-5.86197757002083E-014</v>
      </c>
      <c r="AH145" s="57" t="n">
        <f aca="false">AH140+AH141+AH142-AH143-AH144</f>
        <v>-5.86197757002083E-014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70"/>
    <col collapsed="false" customWidth="true" hidden="false" outlineLevel="0" max="3" min="3" style="1" width="10"/>
  </cols>
  <sheetData>
    <row r="1" customFormat="false" ht="17.25" hidden="false" customHeight="true" outlineLevel="0" collapsed="false">
      <c r="B1" s="2" t="s">
        <v>902</v>
      </c>
    </row>
    <row r="2" customFormat="false" ht="15" hidden="false" customHeight="true" outlineLevel="0" collapsed="false">
      <c r="B2" s="3" t="s">
        <v>903</v>
      </c>
    </row>
    <row r="4" customFormat="false" ht="15" hidden="false" customHeight="true" outlineLevel="0" collapsed="false">
      <c r="B4" s="1" t="s">
        <v>904</v>
      </c>
      <c r="C4" s="67" t="b">
        <f aca="false">ABS('Sources &amp; Uses'!C35)&lt;0.0001</f>
        <v>1</v>
      </c>
    </row>
    <row r="5" customFormat="false" ht="15" hidden="false" customHeight="true" outlineLevel="0" collapsed="false">
      <c r="B5" s="1" t="s">
        <v>905</v>
      </c>
      <c r="C5" s="67" t="b">
        <f aca="false">ABS('Sources &amp; Uses'!D35)&lt;0.0001</f>
        <v>1</v>
      </c>
    </row>
    <row r="6" customFormat="false" ht="15" hidden="false" customHeight="true" outlineLevel="0" collapsed="false">
      <c r="B6" s="1" t="s">
        <v>906</v>
      </c>
      <c r="C6" s="67" t="b">
        <f aca="false">ABS(SPV3!D29)&lt;0.0001</f>
        <v>1</v>
      </c>
    </row>
    <row r="7" customFormat="false" ht="15" hidden="false" customHeight="true" outlineLevel="0" collapsed="false">
      <c r="B7" s="1" t="s">
        <v>907</v>
      </c>
      <c r="C7" s="67" t="b">
        <f aca="false">ABS(SPV4!D29)&lt;0.0001</f>
        <v>1</v>
      </c>
    </row>
    <row r="8" customFormat="false" ht="15" hidden="false" customHeight="true" outlineLevel="0" collapsed="false">
      <c r="B8" s="1" t="s">
        <v>908</v>
      </c>
      <c r="C8" s="67" t="b">
        <f aca="false">SPV3!D31&gt;=Inputs!$C$29-0.0001</f>
        <v>1</v>
      </c>
    </row>
    <row r="9" customFormat="false" ht="15" hidden="false" customHeight="true" outlineLevel="0" collapsed="false">
      <c r="B9" s="1" t="s">
        <v>909</v>
      </c>
      <c r="C9" s="67" t="b">
        <f aca="false">SPV4!D31&gt;=Inputs!$D$29-0.0001</f>
        <v>1</v>
      </c>
    </row>
    <row r="10" customFormat="false" ht="15" hidden="false" customHeight="true" outlineLevel="0" collapsed="false">
      <c r="B10" s="1" t="s">
        <v>910</v>
      </c>
      <c r="C10" s="67" t="b">
        <f aca="false">ABS(SPV3!D74)&lt;0.0001</f>
        <v>1</v>
      </c>
    </row>
    <row r="11" customFormat="false" ht="15" hidden="false" customHeight="true" outlineLevel="0" collapsed="false">
      <c r="B11" s="1" t="s">
        <v>911</v>
      </c>
      <c r="C11" s="67" t="b">
        <f aca="false">ABS(SPV4!D74)&lt;0.0001</f>
        <v>1</v>
      </c>
    </row>
    <row r="12" customFormat="false" ht="15" hidden="false" customHeight="true" outlineLevel="0" collapsed="false">
      <c r="B12" s="1" t="s">
        <v>912</v>
      </c>
      <c r="C12" s="67" t="b">
        <f aca="false">ABS(SPV3!AD81)&lt;0.0001</f>
        <v>1</v>
      </c>
    </row>
    <row r="13" customFormat="false" ht="15" hidden="false" customHeight="true" outlineLevel="0" collapsed="false">
      <c r="B13" s="1" t="s">
        <v>913</v>
      </c>
      <c r="C13" s="67" t="b">
        <f aca="false">ABS(SPV4!AD81)&lt;0.0001</f>
        <v>1</v>
      </c>
    </row>
    <row r="14" customFormat="false" ht="15" hidden="false" customHeight="true" outlineLevel="0" collapsed="false">
      <c r="B14" s="1" t="s">
        <v>914</v>
      </c>
      <c r="C14" s="67" t="b">
        <f aca="false">ABS(HoldCo!D29+HoldCo!D32+HoldCo!D35+HoldCo!D39-HoldCo!D37-HoldCo!D25)&lt;0.0001</f>
        <v>1</v>
      </c>
    </row>
    <row r="15" customFormat="false" ht="15" hidden="false" customHeight="true" outlineLevel="0" collapsed="false">
      <c r="B15" s="1" t="s">
        <v>915</v>
      </c>
      <c r="C15" s="67" t="b">
        <f aca="false">ABS(HoldCo!AH38)&lt;0.0001</f>
        <v>1</v>
      </c>
    </row>
    <row r="16" customFormat="false" ht="15" hidden="false" customHeight="true" outlineLevel="0" collapsed="false">
      <c r="B16" s="1" t="s">
        <v>916</v>
      </c>
      <c r="C16" s="67" t="b">
        <f aca="false">ABS(HoldCo!AH67)&lt;0.0001</f>
        <v>1</v>
      </c>
    </row>
    <row r="17" customFormat="false" ht="15" hidden="false" customHeight="true" outlineLevel="0" collapsed="false">
      <c r="B17" s="1" t="s">
        <v>917</v>
      </c>
      <c r="C17" s="67" t="b">
        <f aca="false">ABS(HoldCo!AH69)&lt;0.0001</f>
        <v>1</v>
      </c>
    </row>
    <row r="18" customFormat="false" ht="15" hidden="false" customHeight="true" outlineLevel="0" collapsed="false">
      <c r="B18" s="1" t="s">
        <v>918</v>
      </c>
      <c r="C18" s="67" t="b">
        <f aca="false">OR(Inputs!$C$92=0,Inputs!$C$97-Inputs!$C$93&lt;=9)</f>
        <v>1</v>
      </c>
    </row>
    <row r="19" customFormat="false" ht="15" hidden="false" customHeight="true" outlineLevel="0" collapsed="false">
      <c r="B19" s="1" t="s">
        <v>919</v>
      </c>
      <c r="C19" s="67" t="b">
        <f aca="false">AND(Inputs!$C$98&gt;=0,Inputs!$C$98&lt;=1)</f>
        <v>1</v>
      </c>
    </row>
    <row r="20" customFormat="false" ht="15" hidden="false" customHeight="true" outlineLevel="0" collapsed="false">
      <c r="B20" s="1" t="s">
        <v>920</v>
      </c>
      <c r="C20" s="67" t="b">
        <f aca="false">ABS(HoldCo!D107+HoldCo!D108+HoldCo!D124-1)&lt;0.0001</f>
        <v>1</v>
      </c>
    </row>
    <row r="21" customFormat="false" ht="15" hidden="false" customHeight="true" outlineLevel="0" collapsed="false">
      <c r="B21" s="1" t="s">
        <v>921</v>
      </c>
      <c r="C21" s="67" t="b">
        <f aca="false">MIN(HoldCo!E75:AH75)&gt;=-0.0001</f>
        <v>1</v>
      </c>
    </row>
    <row r="22" customFormat="false" ht="15" hidden="false" customHeight="true" outlineLevel="0" collapsed="false">
      <c r="B22" s="1" t="s">
        <v>922</v>
      </c>
      <c r="C22" s="67" t="b">
        <f aca="false">ABS(HoldCo!D83+HoldCo!D84+HoldCo!D78-HoldCo!D76)&lt;0.0001</f>
        <v>1</v>
      </c>
    </row>
    <row r="23" customFormat="false" ht="15" hidden="false" customHeight="true" outlineLevel="0" collapsed="false">
      <c r="B23" s="1" t="s">
        <v>923</v>
      </c>
      <c r="C23" s="67" t="b">
        <f aca="false">ABS(SPV3!D83+SPV4!D83-HoldCo!D18-HoldCo!D19-HoldCo!D20-HoldCo!D21-HoldCo!D22)&lt;0.0001</f>
        <v>1</v>
      </c>
    </row>
    <row r="24" customFormat="false" ht="15" hidden="false" customHeight="true" outlineLevel="0" collapsed="false">
      <c r="B24" s="1" t="s">
        <v>924</v>
      </c>
      <c r="C24" s="67" t="b">
        <f aca="false">SPV3!D102&lt;0.001</f>
        <v>1</v>
      </c>
    </row>
    <row r="25" customFormat="false" ht="15" hidden="false" customHeight="true" outlineLevel="0" collapsed="false">
      <c r="B25" s="1" t="s">
        <v>925</v>
      </c>
      <c r="C25" s="67" t="b">
        <f aca="false">SPV4!D102&lt;0.001</f>
        <v>1</v>
      </c>
    </row>
    <row r="26" customFormat="false" ht="15" hidden="false" customHeight="true" outlineLevel="0" collapsed="false">
      <c r="B26" s="1" t="s">
        <v>926</v>
      </c>
      <c r="C26" s="67" t="b">
        <f aca="false">HoldCo!D145&lt;0.001</f>
        <v>1</v>
      </c>
    </row>
    <row r="28" customFormat="false" ht="15" hidden="false" customHeight="true" outlineLevel="0" collapsed="false">
      <c r="B28" s="40" t="s">
        <v>103</v>
      </c>
      <c r="C28" s="67" t="b">
        <f aca="false">AND(C4:C26)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2026-10-16T07:20:49Z</dcterms:created>
  <dc:creator>openpyxl</dc:creator>
  <dc:description/>
  <dc:language>en-US</dc:language>
  <cp:lastModifiedBy/>
  <dcterms:modified xsi:type="dcterms:W3CDTF">2026-10-16T08:08:33Z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